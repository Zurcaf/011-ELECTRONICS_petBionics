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813db6ba1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s" sheetId="1" r:id="R4fe2d27c00a8496c"/>
    <x:sheet xmlns:r="http://schemas.openxmlformats.org/officeDocument/2006/relationships" name="Summary" sheetId="2" r:id="R45598b8953c24d27"/>
    <x:sheet xmlns:r="http://schemas.openxmlformats.org/officeDocument/2006/relationships" name="BibTeX keys" sheetId="3" r:id="Rbc3be50c41db4295"/>
    <x:sheet xmlns:r="http://schemas.openxmlformats.org/officeDocument/2006/relationships" name="Notes" sheetId="4" r:id="Rc159f5925878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3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</x:cellXfs>
  <x:cellStyles count="1">
    <x:cellStyle name="Normal" xfId="0"/>
  </x:cellStyles>
  <x:dxfs count="8">
    <x:dxf>
      <x:fill>
        <x:patternFill patternType="solid">
          <x:bgColor rgb="D9EAF7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ADCF8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6ddcc5e604b99" /><Relationship Type="http://schemas.openxmlformats.org/officeDocument/2006/relationships/theme" Target="/xl/theme/theme1.xml" Id="R6873c336c9db4f5a" /><Relationship Type="http://schemas.openxmlformats.org/officeDocument/2006/relationships/sharedStrings" Target="/xl/sharedStrings.xml" Id="Recc13024b73a404a" /><Relationship Type="http://schemas.openxmlformats.org/officeDocument/2006/relationships/worksheet" Target="/xl/worksheets/sheet1.xml" Id="R4fe2d27c00a8496c" /><Relationship Type="http://schemas.openxmlformats.org/officeDocument/2006/relationships/worksheet" Target="/xl/worksheets/sheet2.xml" Id="R45598b8953c24d27" /><Relationship Type="http://schemas.openxmlformats.org/officeDocument/2006/relationships/worksheet" Target="/xl/worksheets/sheet3.xml" Id="Rbc3be50c41db4295" /><Relationship Type="http://schemas.openxmlformats.org/officeDocument/2006/relationships/worksheet" Target="/xl/worksheets/sheet4.xml" Id="Rc159f592587848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796199ef8141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Papers by subarea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796199ef8141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persTable" displayName="PapersTable" ref="A1:X24" headerRowCount="1">
  <x:tableColumns count="24">
    <x:tableColumn id="1" name="Citation key"/>
    <x:tableColumn id="2" name="Subarea"/>
    <x:tableColumn id="3" name="Paper"/>
    <x:tableColumn id="4" name="First author"/>
    <x:tableColumn id="5" name="Year"/>
    <x:tableColumn id="6" name="Publication date"/>
    <x:tableColumn id="7" name="Venue"/>
    <x:tableColumn id="8" name="Venue type"/>
    <x:tableColumn id="9" name="Ranking class"/>
    <x:tableColumn id="10" name="Ranking basis"/>
    <x:tableColumn id="11" name="Paper link"/>
    <x:tableColumn id="12" name="Ranking source link"/>
    <x:tableColumn id="13" name="Solution type"/>
    <x:tableColumn id="14" name="Device/prosthesis instrumented?"/>
    <x:tableColumn id="15" name="Measurement modality"/>
    <x:tableColumn id="16" name="Wearable / portable?"/>
    <x:tableColumn id="17" name="Materials / manufacturing"/>
    <x:tableColumn id="18" name="Validation sample"/>
    <x:tableColumn id="19" name="Gait / test context"/>
    <x:tableColumn id="20" name="Sampling rate(s) [Hz]"/>
    <x:tableColumn id="21" name="Main outputs"/>
    <x:tableColumn id="22" name="2-line summary"/>
    <x:tableColumn id="23" name="Main limitation / thesis gap"/>
    <x:tableColumn id="24" name="PIC2 relevance / use in thesis"/>
  </x:tableColumns>
  <x:tableStyleInfo name="TableStyleMedium2" showRowStripes="1"/>
</x:table>
</file>

<file path=xl/tables/table2.xml><?xml version="1.0" encoding="utf-8"?>
<x:table xmlns:x="http://schemas.openxmlformats.org/spreadsheetml/2006/main" id="2" name="BibTexKeysTable" displayName="BibTexKeysTable" ref="A1:D24" headerRowCount="1">
  <x:tableColumns count="4">
    <x:tableColumn id="1" name="Citation key"/>
    <x:tableColumn id="2" name="BibTeX entry type"/>
    <x:tableColumn id="3" name="Paper"/>
    <x:tableColumn id="4" name="DOI /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b2cc3f384b49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b9a17ecb57c44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62b18468c2428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8" hidden="0" customWidth="1"/>
    <x:col min="4" max="4" width="14" hidden="0" customWidth="1"/>
    <x:col min="5" max="5" width="8" hidden="0" customWidth="1"/>
    <x:col min="6" max="6" width="16" hidden="0" customWidth="1"/>
    <x:col min="7" max="7" width="30" hidden="0" customWidth="1"/>
    <x:col min="8" max="8" width="12" hidden="0" customWidth="1"/>
    <x:col min="9" max="9" width="12" hidden="0" customWidth="1"/>
    <x:col min="10" max="10" width="18" hidden="0" customWidth="1"/>
    <x:col min="11" max="11" width="34" hidden="0" customWidth="1"/>
    <x:col min="12" max="12" width="34" hidden="0" customWidth="1"/>
    <x:col min="13" max="13" width="28" hidden="0" customWidth="1"/>
    <x:col min="14" max="14" width="18" hidden="0" customWidth="1"/>
    <x:col min="15" max="15" width="28" hidden="0" customWidth="1"/>
    <x:col min="16" max="16" width="18" hidden="0" customWidth="1"/>
    <x:col min="17" max="17" width="28" hidden="0" customWidth="1"/>
    <x:col min="18" max="18" width="28" hidden="0" customWidth="1"/>
    <x:col min="19" max="19" width="26" hidden="0" customWidth="1"/>
    <x:col min="20" max="20" width="15" hidden="0" customWidth="1"/>
    <x:col min="21" max="21" width="30" hidden="0" customWidth="1"/>
    <x:col min="22" max="22" width="48" hidden="0" customWidth="1"/>
    <x:col min="23" max="23" width="48" hidden="0" customWidth="1"/>
    <x:col min="24" max="24" width="42" hidden="0" customWidth="1"/>
  </x:cols>
  <x:sheetData>
    <x:row r="1" ht="36" customHeight="1">
      <x:c r="A1" s="6" t="str">
        <x:v>Citation key</x:v>
      </x:c>
      <x:c r="B1" s="6" t="str">
        <x:v>Subarea</x:v>
      </x:c>
      <x:c r="C1" s="6" t="str">
        <x:v>Paper</x:v>
      </x:c>
      <x:c r="D1" s="6" t="str">
        <x:v>First author</x:v>
      </x:c>
      <x:c r="E1" s="6" t="str">
        <x:v>Year</x:v>
      </x:c>
      <x:c r="F1" s="6" t="str">
        <x:v>Publication date</x:v>
      </x:c>
      <x:c r="G1" s="6" t="str">
        <x:v>Venue</x:v>
      </x:c>
      <x:c r="H1" s="6" t="str">
        <x:v>Venue type</x:v>
      </x:c>
      <x:c r="I1" s="6" t="str">
        <x:v>Ranking class</x:v>
      </x:c>
      <x:c r="J1" s="6" t="str">
        <x:v>Ranking basis</x:v>
      </x:c>
      <x:c r="K1" s="6" t="str">
        <x:v>Paper link</x:v>
      </x:c>
      <x:c r="L1" s="6" t="str">
        <x:v>Ranking source link</x:v>
      </x:c>
      <x:c r="M1" s="6" t="str">
        <x:v>Solution type</x:v>
      </x:c>
      <x:c r="N1" s="6" t="str">
        <x:v>Device/prosthesis instrumented?</x:v>
      </x:c>
      <x:c r="O1" s="6" t="str">
        <x:v>Measurement modality</x:v>
      </x:c>
      <x:c r="P1" s="6" t="str">
        <x:v>Wearable / portable?</x:v>
      </x:c>
      <x:c r="Q1" s="6" t="str">
        <x:v>Materials / manufacturing</x:v>
      </x:c>
      <x:c r="R1" s="6" t="str">
        <x:v>Validation sample</x:v>
      </x:c>
      <x:c r="S1" s="6" t="str">
        <x:v>Gait / test context</x:v>
      </x:c>
      <x:c r="T1" s="6" t="str">
        <x:v>Sampling rate(s) [Hz]</x:v>
      </x:c>
      <x:c r="U1" s="6" t="str">
        <x:v>Main outputs</x:v>
      </x:c>
      <x:c r="V1" s="6" t="str">
        <x:v>2-line summary</x:v>
      </x:c>
      <x:c r="W1" s="6" t="str">
        <x:v>Main limitation / thesis gap</x:v>
      </x:c>
      <x:c r="X1" s="6" t="str">
        <x:v>PIC2 relevance / use in thesis</x:v>
      </x:c>
    </x:row>
    <x:row r="2" ht="80" customHeight="1">
      <x:c r="A2" s="14" t="str">
        <x:v>McLaughlin1994</x:v>
      </x:c>
      <x:c r="B2" s="14" t="str">
        <x:v>Background gait biomechanics</x:v>
      </x:c>
      <x:c r="C2" s="14" t="str">
        <x:v>Effects of subject stance time and velocity on ground reaction forces in clinically normal greyhounds at the trot</x:v>
      </x:c>
      <x:c r="D2" s="14" t="str">
        <x:v>McLaughlin</x:v>
      </x:c>
      <x:c r="E2" s="14" t="n">
        <x:v>1994</x:v>
      </x:c>
      <x:c r="F2" s="14" t="str">
        <x:v>1994-12</x:v>
      </x:c>
      <x:c r="G2" s="14" t="str">
        <x:v>American Journal of Veterinary Research</x:v>
      </x:c>
      <x:c r="H2" s="14" t="str">
        <x:v>Journal</x:v>
      </x:c>
      <x:c r="I2" s="14" t="str">
        <x:v>Q2</x:v>
      </x:c>
      <x:c r="J2" s="14" t="str">
        <x:v>Scopus/SJR 2024</x:v>
      </x:c>
      <x:c r="K2" s="14" t="str">
        <x:v>https://pubmed.ncbi.nlm.nih.gov/7887508/</x:v>
      </x:c>
      <x:c r="L2" s="14" t="str">
        <x:v>https://www.scimagojr.com/journalsearch.php?q=17121&amp;tip=sid</x:v>
      </x:c>
      <x:c r="M2" s="14" t="str">
        <x:v>Force-plate gait study</x:v>
      </x:c>
      <x:c r="N2" s="14" t="str">
        <x:v>Yes</x:v>
      </x:c>
      <x:c r="O2" s="14" t="str">
        <x:v>Force plate (GRF)</x:v>
      </x:c>
      <x:c r="P2" s="14" t="str">
        <x:v>No (lab)</x:v>
      </x:c>
      <x:c r="Q2" s="14" t="str">
        <x:v>N/A</x:v>
      </x:c>
      <x:c r="R2" s="14" t="str">
        <x:v>6 adult Greyhounds</x:v>
      </x:c>
      <x:c r="S2" s="14" t="str">
        <x:v>Trot over force plate</x:v>
      </x:c>
      <x:c r="T2" s="14" t="str">
        <x:v>250</x:v>
      </x:c>
      <x:c r="U2" s="14" t="str">
        <x:v>Ground reaction forces vs stance time/velocity</x:v>
      </x:c>
      <x:c r="V2" s="14" t="str">
        <x:v>Classic biomechanics paper showing that stance time and velocity materially affect measured GRFs in dogs. Useful to justify controlled speed and to estimate that stance at trot can be ~0.10–0.26 s.</x:v>
      </x:c>
      <x:c r="W2" s="14" t="str">
        <x:v>Lab-only force-plate setup; not wearable and not suited for long-term or real-world prosthesis monitoring.</x:v>
      </x:c>
      <x:c r="X2" s="14" t="str">
        <x:v>Use to justify speed/stance-time control and sampling/event-duration assumptions.</x:v>
      </x:c>
    </x:row>
    <x:row r="3" ht="80" customHeight="1">
      <x:c r="A3" s="14" t="str">
        <x:v>Budsberg1996</x:v>
      </x:c>
      <x:c r="B3" s="14" t="str">
        <x:v>Background gait biomechanics</x:v>
      </x:c>
      <x:c r="C3" s="14" t="str">
        <x:v>Prospective evaluation of ground reaction forces in dogs undergoing unilateral total hip replacement</x:v>
      </x:c>
      <x:c r="D3" s="14" t="str">
        <x:v>Budsberg</x:v>
      </x:c>
      <x:c r="E3" s="14" t="n">
        <x:v>1996</x:v>
      </x:c>
      <x:c r="F3" s="14" t="str">
        <x:v>1996-12</x:v>
      </x:c>
      <x:c r="G3" s="14" t="str">
        <x:v>American Journal of Veterinary Research</x:v>
      </x:c>
      <x:c r="H3" s="14" t="str">
        <x:v>Journal</x:v>
      </x:c>
      <x:c r="I3" s="14" t="str">
        <x:v>Q2</x:v>
      </x:c>
      <x:c r="J3" s="14" t="str">
        <x:v>Scopus/SJR 2024</x:v>
      </x:c>
      <x:c r="K3" s="14" t="str">
        <x:v>https://pubmed.ncbi.nlm.nih.gov/8950435/</x:v>
      </x:c>
      <x:c r="L3" s="14" t="str">
        <x:v>https://www.scimagojr.com/journalsearch.php?q=17121&amp;tip=sid</x:v>
      </x:c>
      <x:c r="M3" s="14" t="str">
        <x:v>Clinical force-plate outcome study</x:v>
      </x:c>
      <x:c r="N3" s="14" t="str">
        <x:v>Yes</x:v>
      </x:c>
      <x:c r="O3" s="14" t="str">
        <x:v>Biomechanical force platform</x:v>
      </x:c>
      <x:c r="P3" s="14" t="str">
        <x:v>No (lab)</x:v>
      </x:c>
      <x:c r="Q3" s="14" t="str">
        <x:v>N/A</x:v>
      </x:c>
      <x:c r="R3" s="14" t="str">
        <x:v>16 adult dogs</x:v>
      </x:c>
      <x:c r="S3" s="14" t="str">
        <x:v>Trotted across force platform</x:v>
      </x:c>
      <x:c r="T3" s="14" t="str">
        <x:v>N/R</x:v>
      </x:c>
      <x:c r="U3" s="14" t="str">
        <x:v>Peak vertical and craniocaudal forces before/after THR</x:v>
      </x:c>
      <x:c r="V3" s="14" t="str">
        <x:v>Demonstrates objective kinetic assessment of canine orthopedic treatment using a force platform. Strong example of why quantitative gait metrics are preferable to purely subjective follow-up.</x:v>
      </x:c>
      <x:c r="W3" s="14" t="str">
        <x:v>Platform is a gold standard but expensive, non-portable, and not integrated into the prosthesis itself.</x:v>
      </x:c>
      <x:c r="X3" s="14" t="str">
        <x:v>Use in motivation for objective metrics after orthopedic intervention.</x:v>
      </x:c>
    </x:row>
    <x:row r="4" ht="80" customHeight="1">
      <x:c r="A4" s="14" t="str">
        <x:v>McLaughlin2001</x:v>
      </x:c>
      <x:c r="B4" s="14" t="str">
        <x:v>Background gait biomechanics</x:v>
      </x:c>
      <x:c r="C4" s="14" t="str">
        <x:v>Kinetic and kinematic gait analysis in dogs</x:v>
      </x:c>
      <x:c r="D4" s="14" t="str">
        <x:v>McLaughlin</x:v>
      </x:c>
      <x:c r="E4" s="14" t="n">
        <x:v>2001</x:v>
      </x:c>
      <x:c r="F4" s="14" t="str">
        <x:v>2001-01</x:v>
      </x:c>
      <x:c r="G4" s="14" t="str">
        <x:v>Veterinary Clinics of North America: Small Animal Practice</x:v>
      </x:c>
      <x:c r="H4" s="14" t="str">
        <x:v>Journal</x:v>
      </x:c>
      <x:c r="I4" s="14" t="str">
        <x:v>Q1</x:v>
      </x:c>
      <x:c r="J4" s="14" t="str">
        <x:v>Scopus/SJR 2024</x:v>
      </x:c>
      <x:c r="K4" s="14" t="str">
        <x:v>https://doi.org/10.1016/S0195-5616(01)50045-5</x:v>
      </x:c>
      <x:c r="L4" s="14" t="str">
        <x:v>https://askbisht.com/journals/veterinary-clinics-of-north-america-small-animal-practice</x:v>
      </x:c>
      <x:c r="M4" s="14" t="str">
        <x:v>Review</x:v>
      </x:c>
      <x:c r="N4" s="14" t="str">
        <x:v>N/A</x:v>
      </x:c>
      <x:c r="O4" s="14" t="str">
        <x:v>Review of force-plate and kinematic analysis</x:v>
      </x:c>
      <x:c r="P4" s="14" t="str">
        <x:v>N/A</x:v>
      </x:c>
      <x:c r="Q4" s="14" t="str">
        <x:v>N/A</x:v>
      </x:c>
      <x:c r="R4" s="14" t="str">
        <x:v>Review / no experimental cohort</x:v>
      </x:c>
      <x:c r="S4" s="14" t="str">
        <x:v>Walk/trot concepts and methodology</x:v>
      </x:c>
      <x:c r="T4" s="14" t="str">
        <x:v>N/A</x:v>
      </x:c>
      <x:c r="U4" s="14" t="str">
        <x:v>Review of kinetic vs kinematic gait analysis</x:v>
      </x:c>
      <x:c r="V4" s="14" t="str">
        <x:v>Foundational review for non-veterinary engineers: explains gait cycle, what kinetic and kinematic analysis measure, and why experimental control matters.</x:v>
      </x:c>
      <x:c r="W4" s="14" t="str">
        <x:v>Not a new sensing solution; also highlights dependence on specialized laboratory equipment.</x:v>
      </x:c>
      <x:c r="X4" s="14" t="str">
        <x:v>Use in background to define kinetics, kinematics, gait cycle and lab methods.</x:v>
      </x:c>
    </x:row>
    <x:row r="5" ht="80" customHeight="1">
      <x:c r="A5" s="14" t="str">
        <x:v>Oosterlinck2011</x:v>
      </x:c>
      <x:c r="B5" s="14" t="str">
        <x:v>Background gait biomechanics</x:v>
      </x:c>
      <x:c r="C5" s="14" t="str">
        <x:v>Accuracy of pressure plate kinetic asymmetry indices and their correlation with visual gait assessment scores in lame and nonlame dogs</x:v>
      </x:c>
      <x:c r="D5" s="14" t="str">
        <x:v>Oosterlinck</x:v>
      </x:c>
      <x:c r="E5" s="14" t="n">
        <x:v>2011</x:v>
      </x:c>
      <x:c r="F5" s="14" t="str">
        <x:v>2011-06</x:v>
      </x:c>
      <x:c r="G5" s="14" t="str">
        <x:v>American Journal of Veterinary Research</x:v>
      </x:c>
      <x:c r="H5" s="14" t="str">
        <x:v>Journal</x:v>
      </x:c>
      <x:c r="I5" s="14" t="str">
        <x:v>Q2</x:v>
      </x:c>
      <x:c r="J5" s="14" t="str">
        <x:v>Scopus/SJR 2024</x:v>
      </x:c>
      <x:c r="K5" s="14" t="str">
        <x:v>https://doi.org/10.2460/ajvr.72.6.820</x:v>
      </x:c>
      <x:c r="L5" s="14" t="str">
        <x:v>https://www.scimagojr.com/journalsearch.php?q=17121&amp;tip=sid</x:v>
      </x:c>
      <x:c r="M5" s="14" t="str">
        <x:v>Pressure-plate asymmetry study</x:v>
      </x:c>
      <x:c r="N5" s="14" t="str">
        <x:v>Yes</x:v>
      </x:c>
      <x:c r="O5" s="14" t="str">
        <x:v>Pressure plate</x:v>
      </x:c>
      <x:c r="P5" s="14" t="str">
        <x:v>No (lab)</x:v>
      </x:c>
      <x:c r="Q5" s="14" t="str">
        <x:v>N/A</x:v>
      </x:c>
      <x:c r="R5" s="14" t="str">
        <x:v>25 dogs (9 healthy + 16 lame)</x:v>
      </x:c>
      <x:c r="S5" s="14" t="str">
        <x:v>Clinical lameness assessment</x:v>
      </x:c>
      <x:c r="T5" s="14" t="str">
        <x:v>125</x:v>
      </x:c>
      <x:c r="U5" s="14" t="str">
        <x:v>PVF, VI, PCA asymmetry vs visual scoring</x:v>
      </x:c>
      <x:c r="V5" s="14" t="str">
        <x:v>Shows that objective pressure-plate asymmetry metrics can correlate with clinical gait assessment and can outperform subjective observation. Useful for motivating objective instrumented evaluation.</x:v>
      </x:c>
      <x:c r="W5" s="14" t="str">
        <x:v>Still constrained to a walkway/lab context; does not provide continuous free-roaming monitoring.</x:v>
      </x:c>
      <x:c r="X5" s="14" t="str">
        <x:v>Use to justify asymmetry indices and objective evaluation beyond visual scoring.</x:v>
      </x:c>
    </x:row>
    <x:row r="6" ht="80" customHeight="1">
      <x:c r="A6" s="14" t="str">
        <x:v>Druen2012</x:v>
      </x:c>
      <x:c r="B6" s="14" t="str">
        <x:v>Background gait biomechanics</x:v>
      </x:c>
      <x:c r="C6" s="14" t="str">
        <x:v>Computer-based gait analysis of dogs: evaluation of kinetic and kinematic parameters after cemented and cementless total hip replacement</x:v>
      </x:c>
      <x:c r="D6" s="14" t="str">
        <x:v>Drüen</x:v>
      </x:c>
      <x:c r="E6" s="14" t="n">
        <x:v>2012</x:v>
      </x:c>
      <x:c r="F6" s="14" t="str">
        <x:v>2012-07-25 (Epub)</x:v>
      </x:c>
      <x:c r="G6" s="14" t="str">
        <x:v>Veterinary and Comparative Orthopaedics and Traumatology</x:v>
      </x:c>
      <x:c r="H6" s="14" t="str">
        <x:v>Journal</x:v>
      </x:c>
      <x:c r="I6" s="14" t="str">
        <x:v>Q1</x:v>
      </x:c>
      <x:c r="J6" s="14" t="str">
        <x:v>Scopus/SJR 2024</x:v>
      </x:c>
      <x:c r="K6" s="14" t="str">
        <x:v>https://doi.org/10.3415/VCOT-10-02-0026</x:v>
      </x:c>
      <x:c r="L6" s="14" t="str">
        <x:v>https://www.resurchify.com/impact/details/19501</x:v>
      </x:c>
      <x:c r="M6" s="14" t="str">
        <x:v>Instrumented treadmill study</x:v>
      </x:c>
      <x:c r="N6" s="14" t="str">
        <x:v>Yes</x:v>
      </x:c>
      <x:c r="O6" s="14" t="str">
        <x:v>Instrumented treadmill + kinematics</x:v>
      </x:c>
      <x:c r="P6" s="14" t="str">
        <x:v>No (lab)</x:v>
      </x:c>
      <x:c r="Q6" s="14" t="str">
        <x:v>N/A</x:v>
      </x:c>
      <x:c r="R6" s="14" t="str">
        <x:v>18 adult dogs</x:v>
      </x:c>
      <x:c r="S6" s="14" t="str">
        <x:v>Computer-based treadmill gait analysis</x:v>
      </x:c>
      <x:c r="T6" s="14" t="str">
        <x:v>N/R</x:v>
      </x:c>
      <x:c r="U6" s="14" t="str">
        <x:v>Kinetic and kinematic parameters after THR</x:v>
      </x:c>
      <x:c r="V6" s="14" t="str">
        <x:v>Combines kinetic and kinematic variables, illustrating the richer information obtained when force and movement are analyzed together. Good bridge between veterinary biomechanics and engineering measurement systems.</x:v>
      </x:c>
      <x:c r="W6" s="14" t="str">
        <x:v>Complex laboratory setup; treadmill context may differ from natural overground locomotion.</x:v>
      </x:c>
      <x:c r="X6" s="14" t="str">
        <x:v>Use to justify combining load and movement sensing in one system.</x:v>
      </x:c>
    </x:row>
    <x:row r="7" ht="80" customHeight="1">
      <x:c r="A7" s="14" t="str">
        <x:v>Fischer2013</x:v>
      </x:c>
      <x:c r="B7" s="14" t="str">
        <x:v>Background gait biomechanics</x:v>
      </x:c>
      <x:c r="C7" s="14" t="str">
        <x:v>Compensatory load redistribution in walking and trotting dogs with hind limb lameness</x:v>
      </x:c>
      <x:c r="D7" s="14" t="str">
        <x:v>Fischer</x:v>
      </x:c>
      <x:c r="E7" s="14" t="n">
        <x:v>2013</x:v>
      </x:c>
      <x:c r="F7" s="14" t="str">
        <x:v>2013-05-15 (Epub)</x:v>
      </x:c>
      <x:c r="G7" s="14" t="str">
        <x:v>The Veterinary Journal</x:v>
      </x:c>
      <x:c r="H7" s="14" t="str">
        <x:v>Journal</x:v>
      </x:c>
      <x:c r="I7" s="14" t="str">
        <x:v>Q1</x:v>
      </x:c>
      <x:c r="J7" s="14" t="str">
        <x:v>Scopus/SJR 2024</x:v>
      </x:c>
      <x:c r="K7" s="14" t="str">
        <x:v>https://doi.org/10.1016/j.tvjl.2013.04.009</x:v>
      </x:c>
      <x:c r="L7" s="14" t="str">
        <x:v>https://www.scimagojr.com/journalsearch.php?q=19524&amp;tip=sid</x:v>
      </x:c>
      <x:c r="M7" s="14" t="str">
        <x:v>Instrumented treadmill lameness study</x:v>
      </x:c>
      <x:c r="N7" s="14" t="str">
        <x:v>Yes</x:v>
      </x:c>
      <x:c r="O7" s="14" t="str">
        <x:v>Instrumented treadmill (all limbs GRF)</x:v>
      </x:c>
      <x:c r="P7" s="14" t="str">
        <x:v>No (lab)</x:v>
      </x:c>
      <x:c r="Q7" s="14" t="str">
        <x:v>N/A</x:v>
      </x:c>
      <x:c r="R7" s="14" t="str">
        <x:v>8 adult Beagles</x:v>
      </x:c>
      <x:c r="S7" s="14" t="str">
        <x:v>Walking and trotting</x:v>
      </x:c>
      <x:c r="T7" s="14" t="str">
        <x:v>1000</x:v>
      </x:c>
      <x:c r="U7" s="14" t="str">
        <x:v>Compensatory loading patterns across four limbs</x:v>
      </x:c>
      <x:c r="V7" s="14" t="str">
        <x:v>Useful to understand how load redistributes across limbs when one limb is compromised. This matters directly for prosthesis evaluation because force asymmetry can appear in non-target limbs too.</x:v>
      </x:c>
      <x:c r="W7" s="14" t="str">
        <x:v>Small sample; treadmill/lab setting; not an integrated prosthesis sensing approach.</x:v>
      </x:c>
      <x:c r="X7" s="14" t="str">
        <x:v>Use to discuss compensation effects and limits of single-limb interpretation.</x:v>
      </x:c>
    </x:row>
    <x:row r="8" ht="80" customHeight="1">
      <x:c r="A8" s="14" t="str">
        <x:v>Ladha2017</x:v>
      </x:c>
      <x:c r="B8" s="14" t="str">
        <x:v>Wearable sensing</x:v>
      </x:c>
      <x:c r="C8" s="14" t="str">
        <x:v>GaitKeeper: A System for Measuring Canine Gait</x:v>
      </x:c>
      <x:c r="D8" s="14" t="str">
        <x:v>Ladha</x:v>
      </x:c>
      <x:c r="E8" s="14" t="n">
        <x:v>2017</x:v>
      </x:c>
      <x:c r="F8" s="14" t="str">
        <x:v>2017-02-08</x:v>
      </x:c>
      <x:c r="G8" s="14" t="str">
        <x:v>Sensors</x:v>
      </x:c>
      <x:c r="H8" s="14" t="str">
        <x:v>Journal</x:v>
      </x:c>
      <x:c r="I8" s="14" t="str">
        <x:v>Q1</x:v>
      </x:c>
      <x:c r="J8" s="14" t="str">
        <x:v>Scopus/SJR 2024</x:v>
      </x:c>
      <x:c r="K8" s="14" t="str">
        <x:v>https://doi.org/10.3390/s17020309</x:v>
      </x:c>
      <x:c r="L8" s="14" t="str">
        <x:v>https://www.scimagojr.com/journalsearch.php?q=130124&amp;tip=sid</x:v>
      </x:c>
      <x:c r="M8" s="14" t="str">
        <x:v>Wearable gait measurement system</x:v>
      </x:c>
      <x:c r="N8" s="14" t="str">
        <x:v>Yes</x:v>
      </x:c>
      <x:c r="O8" s="14" t="str">
        <x:v>4 limb IMUs (accel + gyro)</x:v>
      </x:c>
      <x:c r="P8" s="14" t="str">
        <x:v>Yes</x:v>
      </x:c>
      <x:c r="Q8" s="14" t="str">
        <x:v>Bandaged limb-mounted IMUs</x:v>
      </x:c>
      <x:c r="R8" s="14" t="str">
        <x:v>19 healthy dogs</x:v>
      </x:c>
      <x:c r="S8" s="14" t="str">
        <x:v>Walk and trot on standardized track</x:v>
      </x:c>
      <x:c r="T8" s="14" t="str">
        <x:v>100</x:v>
      </x:c>
      <x:c r="U8" s="14" t="str">
        <x:v>Step, swing, stance timing; foot contact detection</x:v>
      </x:c>
      <x:c r="V8" s="14" t="str">
        <x:v>One of the most relevant engineering papers: four limb-worn IMUs sampled at 100 Hz, validated against 240 fps video, and evaluated on 12,678 footfalls. Strong evidence that ~100 Hz is workable for canine contact timing.</x:v>
      </x:c>
      <x:c r="W8" s="14" t="str">
        <x:v>Controlled environment and healthy dogs only; no force sensing and no prosthesis integration.</x:v>
      </x:c>
      <x:c r="X8" s="14" t="str">
        <x:v>Use as key precedent for IMU sampling rate and event detection.</x:v>
      </x:c>
    </x:row>
    <x:row r="9" ht="80" customHeight="1">
      <x:c r="A9" s="14" t="str">
        <x:v>Jenkins2018</x:v>
      </x:c>
      <x:c r="B9" s="14" t="str">
        <x:v>Wearable sensing</x:v>
      </x:c>
      <x:c r="C9" s="14" t="str">
        <x:v>Automatic characterization of stride parameters in canines with a single wearable inertial sensor</x:v>
      </x:c>
      <x:c r="D9" s="14" t="str">
        <x:v>Jenkins</x:v>
      </x:c>
      <x:c r="E9" s="14" t="n">
        <x:v>2018</x:v>
      </x:c>
      <x:c r="F9" s="14" t="str">
        <x:v>2018-06-14</x:v>
      </x:c>
      <x:c r="G9" s="14" t="str">
        <x:v>PLOS ONE</x:v>
      </x:c>
      <x:c r="H9" s="14" t="str">
        <x:v>Journal</x:v>
      </x:c>
      <x:c r="I9" s="14" t="str">
        <x:v>Q1</x:v>
      </x:c>
      <x:c r="J9" s="14" t="str">
        <x:v>Scopus/SJR 2024</x:v>
      </x:c>
      <x:c r="K9" s="14" t="str">
        <x:v>https://doi.org/10.1371/journal.pone.0198893</x:v>
      </x:c>
      <x:c r="L9" s="14" t="str">
        <x:v>https://www.scimagojr.com/journalsearch.php?q=10600153309&amp;tip=sid</x:v>
      </x:c>
      <x:c r="M9" s="14" t="str">
        <x:v>Single-IMU stride characterization</x:v>
      </x:c>
      <x:c r="N9" s="14" t="str">
        <x:v>Yes</x:v>
      </x:c>
      <x:c r="O9" s="14" t="str">
        <x:v>Single forelimb IMU</x:v>
      </x:c>
      <x:c r="P9" s="14" t="str">
        <x:v>Yes</x:v>
      </x:c>
      <x:c r="Q9" s="14" t="str">
        <x:v>Bandaged limb-mounted IMU</x:v>
      </x:c>
      <x:c r="R9" s="14" t="str">
        <x:v>3 mixed-breed dogs; 1,259 accepted strides</x:v>
      </x:c>
      <x:c r="S9" s="14" t="str">
        <x:v>Treadmill walk and trot</x:v>
      </x:c>
      <x:c r="T9" s="14" t="str">
        <x:v>100</x:v>
      </x:c>
      <x:c r="U9" s="14" t="str">
        <x:v>Stride, swing, stance from one IMU</x:v>
      </x:c>
      <x:c r="V9" s="14" t="str">
        <x:v>Shows that even a single low-cost IMU can recover stride parameters with useful accuracy when algorithms are carefully designed. Especially relevant if electronics budget or form factor is constrained.</x:v>
      </x:c>
      <x:c r="W9" s="14" t="str">
        <x:v>Very small sample and treadmill setup; no direct force measurement and limited generalization.</x:v>
      </x:c>
      <x:c r="X9" s="14" t="str">
        <x:v>Use to justify a prosthesis-mounted IMU when form factor is constrained.</x:v>
      </x:c>
    </x:row>
    <x:row r="10" ht="80" customHeight="1">
      <x:c r="A10" s="14" t="str">
        <x:v>Fahie2018</x:v>
      </x:c>
      <x:c r="B10" s="14" t="str">
        <x:v>Background gait biomechanics</x:v>
      </x:c>
      <x:c r="C10" s="14" t="str">
        <x:v>Pressure Mat Analysis of Walk and Trot Gait Characteristics in 66 Normal Small, Medium, Large, and Giant Breed Dogs</x:v>
      </x:c>
      <x:c r="D10" s="14" t="str">
        <x:v>Fahie</x:v>
      </x:c>
      <x:c r="E10" s="14" t="n">
        <x:v>2018</x:v>
      </x:c>
      <x:c r="F10" s="14" t="str">
        <x:v>2018-10-16</x:v>
      </x:c>
      <x:c r="G10" s="14" t="str">
        <x:v>Frontiers in Veterinary Science</x:v>
      </x:c>
      <x:c r="H10" s="14" t="str">
        <x:v>Journal</x:v>
      </x:c>
      <x:c r="I10" s="14" t="str">
        <x:v>Q1</x:v>
      </x:c>
      <x:c r="J10" s="14" t="str">
        <x:v>Scopus/SJR 2024</x:v>
      </x:c>
      <x:c r="K10" s="14" t="str">
        <x:v>https://doi.org/10.3389/fvets.2018.00256</x:v>
      </x:c>
      <x:c r="L10" s="14" t="str">
        <x:v>https://www.scimagojr.com/journalsearch.php?clean=0&amp;q=21100843693&amp;tip=sid</x:v>
      </x:c>
      <x:c r="M10" s="14" t="str">
        <x:v>Pressure-mat reference dataset</x:v>
      </x:c>
      <x:c r="N10" s="14" t="str">
        <x:v>Yes</x:v>
      </x:c>
      <x:c r="O10" s="14" t="str">
        <x:v>Pressure mat / walkway</x:v>
      </x:c>
      <x:c r="P10" s="14" t="str">
        <x:v>No (lab)</x:v>
      </x:c>
      <x:c r="Q10" s="14" t="str">
        <x:v>N/A</x:v>
      </x:c>
      <x:c r="R10" s="14" t="str">
        <x:v>66 healthy dogs</x:v>
      </x:c>
      <x:c r="S10" s="14" t="str">
        <x:v>Walk and trot</x:v>
      </x:c>
      <x:c r="T10" s="14" t="str">
        <x:v>N/R</x:v>
      </x:c>
      <x:c r="U10" s="14" t="str">
        <x:v>Reference temporospatial/pressure data by size class</x:v>
      </x:c>
      <x:c r="V10" s="14" t="str">
        <x:v>Large healthy-dog dataset that is valuable as a reference baseline. Helpful for normative values and for discussing how size/breed influence measured gait parameters.</x:v>
      </x:c>
      <x:c r="W10" s="14" t="str">
        <x:v>Pressure mat is portable-ish but still external to the dog/prosthesis and constrained to short walkways.</x:v>
      </x:c>
      <x:c r="X10" s="14" t="str">
        <x:v>Use as reference dataset for normal canine walk/trot characteristics.</x:v>
      </x:c>
    </x:row>
    <x:row r="11" ht="80" customHeight="1">
      <x:c r="A11" s="14" t="str">
        <x:v>Wendland2019</x:v>
      </x:c>
      <x:c r="B11" s="14" t="str">
        <x:v>Prosthesis / clinical outcomes</x:v>
      </x:c>
      <x:c r="C11" s="14" t="str">
        <x:v>Retrospective Multi-Center Analysis of Canine Socket Prostheses for Partial Limbs</x:v>
      </x:c>
      <x:c r="D11" s="14" t="str">
        <x:v>Wendland</x:v>
      </x:c>
      <x:c r="E11" s="14" t="n">
        <x:v>2019</x:v>
      </x:c>
      <x:c r="F11" s="14" t="str">
        <x:v>2019-04-05</x:v>
      </x:c>
      <x:c r="G11" s="14" t="str">
        <x:v>Frontiers in Veterinary Science</x:v>
      </x:c>
      <x:c r="H11" s="14" t="str">
        <x:v>Journal</x:v>
      </x:c>
      <x:c r="I11" s="14" t="str">
        <x:v>Q1</x:v>
      </x:c>
      <x:c r="J11" s="14" t="str">
        <x:v>Scopus/SJR 2024</x:v>
      </x:c>
      <x:c r="K11" s="14" t="str">
        <x:v>https://doi.org/10.3389/fvets.2019.00100</x:v>
      </x:c>
      <x:c r="L11" s="14" t="str">
        <x:v>https://www.scimagojr.com/journalsearch.php?clean=0&amp;q=21100843693&amp;tip=sid</x:v>
      </x:c>
      <x:c r="M11" s="14" t="str">
        <x:v>Socket prosthesis clinical outcomes</x:v>
      </x:c>
      <x:c r="N11" s="14" t="str">
        <x:v>No</x:v>
      </x:c>
      <x:c r="O11" s="14" t="str">
        <x:v>Owner survey + clinical scoring</x:v>
      </x:c>
      <x:c r="P11" s="14" t="str">
        <x:v>Yes (prosthesis), but not instrumented</x:v>
      </x:c>
      <x:c r="Q11" s="14" t="str">
        <x:v>Custom socket prostheses</x:v>
      </x:c>
      <x:c r="R11" s="14" t="str">
        <x:v>47 dogs</x:v>
      </x:c>
      <x:c r="S11" s="14" t="str">
        <x:v>Clinical use / owner-reported function</x:v>
      </x:c>
      <x:c r="T11" s="14" t="str">
        <x:v>N/A</x:v>
      </x:c>
      <x:c r="U11" s="14" t="str">
        <x:v>Owner satisfaction, clinical outcome, complications</x:v>
      </x:c>
      <x:c r="V11" s="14" t="str">
        <x:v>Important prosthesis paper with a relatively large sample. It supports feasibility and owner acceptance of socket prostheses, but also shows that outcome evidence is often retrospective and not strongly instrumented.</x:v>
      </x:c>
      <x:c r="W11" s="14" t="str">
        <x:v>No integrated sensing; outcomes rely heavily on owner report and author-defined scoring.</x:v>
      </x:c>
      <x:c r="X11" s="14" t="str">
        <x:v>Use as direct prosthesis evidence and to define the instrumentation gap.</x:v>
      </x:c>
    </x:row>
    <x:row r="12" ht="80" customHeight="1">
      <x:c r="A12" s="14" t="str">
        <x:v>Hayati2019</x:v>
      </x:c>
      <x:c r="B12" s="14" t="str">
        <x:v>Wearable sensing</x:v>
      </x:c>
      <x:c r="C12" s="14" t="str">
        <x:v>Analysis of Agile Canine Gait Characteristics Using Accelerometry</x:v>
      </x:c>
      <x:c r="D12" s="14" t="str">
        <x:v>Hayati</x:v>
      </x:c>
      <x:c r="E12" s="14" t="n">
        <x:v>2019</x:v>
      </x:c>
      <x:c r="F12" s="14" t="str">
        <x:v>2019-10-10</x:v>
      </x:c>
      <x:c r="G12" s="14" t="str">
        <x:v>Sensors</x:v>
      </x:c>
      <x:c r="H12" s="14" t="str">
        <x:v>Journal</x:v>
      </x:c>
      <x:c r="I12" s="14" t="str">
        <x:v>Q1</x:v>
      </x:c>
      <x:c r="J12" s="14" t="str">
        <x:v>Scopus/SJR 2024</x:v>
      </x:c>
      <x:c r="K12" s="14" t="str">
        <x:v>https://doi.org/10.3390/s19204379</x:v>
      </x:c>
      <x:c r="L12" s="14" t="str">
        <x:v>https://www.scimagojr.com/journalsearch.php?q=130124&amp;tip=sid</x:v>
      </x:c>
      <x:c r="M12" s="14" t="str">
        <x:v>Single-IMU gallop analysis</x:v>
      </x:c>
      <x:c r="N12" s="14" t="str">
        <x:v>Yes</x:v>
      </x:c>
      <x:c r="O12" s="14" t="str">
        <x:v>Accelerometer/IMU near CoM</x:v>
      </x:c>
      <x:c r="P12" s="14" t="str">
        <x:v>Yes</x:v>
      </x:c>
      <x:c r="Q12" s="14" t="str">
        <x:v>In-house IMU in racing jacket; commercial IMU comparison</x:v>
      </x:c>
      <x:c r="R12" s="14" t="str">
        <x:v>31 greyhounds</x:v>
      </x:c>
      <x:c r="S12" s="14" t="str">
        <x:v>Gallop on race tracks</x:v>
      </x:c>
      <x:c r="T12" s="14" t="str">
        <x:v>100 / 185</x:v>
      </x:c>
      <x:c r="U12" s="14" t="str">
        <x:v>Stride and step frequency during gallop</x:v>
      </x:c>
      <x:c r="V12" s="14" t="str">
        <x:v>Useful for engineering justification of sampling frequency: stride frequencies around 3.5 Hz were captured using 100 Hz and 185 Hz IMU systems. Shows canine gait fundamentals are low frequency, but event timing still benefits from oversampling margin.</x:v>
      </x:c>
      <x:c r="W12" s="14" t="str">
        <x:v>Focused on agile greyhound gallop, not clinical walk/trot or prosthesis users; no force sensing.</x:v>
      </x:c>
      <x:c r="X12" s="14" t="str">
        <x:v>Use as support for sampling frequency and FFT/wavelet feature extraction.</x:v>
      </x:c>
    </x:row>
    <x:row r="13" ht="80" customHeight="1">
      <x:c r="A13" s="14" t="str">
        <x:v>Moreira2020</x:v>
      </x:c>
      <x:c r="B13" s="14" t="str">
        <x:v>Background gait biomechanics</x:v>
      </x:c>
      <x:c r="C13" s="14" t="str">
        <x:v>Comparison of the Vertical Force Distribution in the Paws of Dogs with Coxarthrosis and Sound Dogs Walking over a Pressure Plate</x:v>
      </x:c>
      <x:c r="D13" s="14" t="str">
        <x:v>Moreira</x:v>
      </x:c>
      <x:c r="E13" s="14" t="n">
        <x:v>2020</x:v>
      </x:c>
      <x:c r="F13" s="14" t="str">
        <x:v>2020-06-05</x:v>
      </x:c>
      <x:c r="G13" s="14" t="str">
        <x:v>Animals</x:v>
      </x:c>
      <x:c r="H13" s="14" t="str">
        <x:v>Journal</x:v>
      </x:c>
      <x:c r="I13" s="14" t="str">
        <x:v>Q1</x:v>
      </x:c>
      <x:c r="J13" s="14" t="str">
        <x:v>Scopus/SJR 2024</x:v>
      </x:c>
      <x:c r="K13" s="14" t="str">
        <x:v>https://doi.org/10.3390/ani10060986</x:v>
      </x:c>
      <x:c r="L13" s="14" t="str">
        <x:v>https://www.resurchify.com/impact/details/21100244850</x:v>
      </x:c>
      <x:c r="M13" s="14" t="str">
        <x:v>Pressure-plate disease comparison</x:v>
      </x:c>
      <x:c r="N13" s="14" t="str">
        <x:v>Yes</x:v>
      </x:c>
      <x:c r="O13" s="14" t="str">
        <x:v>Pressure plate</x:v>
      </x:c>
      <x:c r="P13" s="14" t="str">
        <x:v>No (lab)</x:v>
      </x:c>
      <x:c r="Q13" s="14" t="str">
        <x:v>N/A</x:v>
      </x:c>
      <x:c r="R13" s="14" t="str">
        <x:v>46 dogs (23 sound + 23 coxarthrosis)</x:v>
      </x:c>
      <x:c r="S13" s="14" t="str">
        <x:v>Walking over pressure plate</x:v>
      </x:c>
      <x:c r="T13" s="14" t="str">
        <x:v>100</x:v>
      </x:c>
      <x:c r="U13" s="14" t="str">
        <x:v>Vertical force distribution within paws</x:v>
      </x:c>
      <x:c r="V13" s="14" t="str">
        <x:v>Good reference showing how pathology changes paw-level load distribution, not just whole-limb metrics. This strengthens the case for distributed sensing if future design evolves beyond a single load cell.</x:v>
      </x:c>
      <x:c r="W13" s="14" t="str">
        <x:v>External laboratory plate only; still not a wearable prosthesis-integrated measurement solution.</x:v>
      </x:c>
      <x:c r="X13" s="14" t="str">
        <x:v>Use to discuss paw-level force distribution and limits of one axial load cell.</x:v>
      </x:c>
    </x:row>
    <x:row r="14" ht="80" customHeight="1">
      <x:c r="A14" s="14" t="str">
        <x:v>Seguin2020</x:v>
      </x:c>
      <x:c r="B14" s="14" t="str">
        <x:v>Prosthesis / clinical outcomes</x:v>
      </x:c>
      <x:c r="C14" s="14" t="str">
        <x:v>Limb-sparing in dogs using patient-specific, three-dimensional-printed endoprosthesis for distal radial osteosarcoma: A pilot study</x:v>
      </x:c>
      <x:c r="D14" s="14" t="str">
        <x:v>Séguin</x:v>
      </x:c>
      <x:c r="E14" s="14" t="n">
        <x:v>2020</x:v>
      </x:c>
      <x:c r="F14" s="14" t="str">
        <x:v>2019-07-12 (Epub) / 2020-03 issue</x:v>
      </x:c>
      <x:c r="G14" s="14" t="str">
        <x:v>Veterinary and Comparative Oncology</x:v>
      </x:c>
      <x:c r="H14" s="14" t="str">
        <x:v>Journal</x:v>
      </x:c>
      <x:c r="I14" s="14" t="str">
        <x:v>Q1</x:v>
      </x:c>
      <x:c r="J14" s="14" t="str">
        <x:v>Scopus/SJR 2024</x:v>
      </x:c>
      <x:c r="K14" s="14" t="str">
        <x:v>https://doi.org/10.1111/vco.12515</x:v>
      </x:c>
      <x:c r="L14" s="14" t="str">
        <x:v>https://www.scimagojr.com/journalsearch.php?q=16700154702&amp;tip=sid</x:v>
      </x:c>
      <x:c r="M14" s="14" t="str">
        <x:v>Patient-specific endoprosthesis / limb-sparing</x:v>
      </x:c>
      <x:c r="N14" s="14" t="str">
        <x:v>No</x:v>
      </x:c>
      <x:c r="O14" s="14" t="str">
        <x:v>Clinical/surgical outcome study</x:v>
      </x:c>
      <x:c r="P14" s="14" t="str">
        <x:v>Implanted endoprosthesis</x:v>
      </x:c>
      <x:c r="Q14" s="14" t="str">
        <x:v>Patient-specific 3D-printed endoprosthesis + guides</x:v>
      </x:c>
      <x:c r="R14" s="14" t="str">
        <x:v>5 client-owned dogs</x:v>
      </x:c>
      <x:c r="S14" s="14" t="str">
        <x:v>Post-operative functional outcome</x:v>
      </x:c>
      <x:c r="T14" s="14" t="str">
        <x:v>N/A</x:v>
      </x:c>
      <x:c r="U14" s="14" t="str">
        <x:v>Feasibility and complications of custom endoprosthesis</x:v>
      </x:c>
      <x:c r="V14" s="14" t="str">
        <x:v>Relevant on the mechanical design side: shows patient-specific additive manufacturing and limb-preservation strategies in dogs. Good citation for custom fabrication or future structural integration of sensors.</x:v>
      </x:c>
      <x:c r="W14" s="14" t="str">
        <x:v>Very small pilot sample and no embedded sensing/continuous objective monitoring.</x:v>
      </x:c>
      <x:c r="X14" s="14" t="str">
        <x:v>Use in manufacturing/state-of-art discussion for custom prosthesis design.</x:v>
      </x:c>
    </x:row>
    <x:row r="15" ht="80" customHeight="1">
      <x:c r="A15" s="14" t="str">
        <x:v>Arauz2021</x:v>
      </x:c>
      <x:c r="B15" s="14" t="str">
        <x:v>Prosthesis / clinical outcomes</x:v>
      </x:c>
      <x:c r="C15" s="14" t="str">
        <x:v>New technologies applied to canine limb prostheses: A review</x:v>
      </x:c>
      <x:c r="D15" s="14" t="str">
        <x:v>Arauz</x:v>
      </x:c>
      <x:c r="E15" s="14" t="n">
        <x:v>2021</x:v>
      </x:c>
      <x:c r="F15" s="14" t="str">
        <x:v>2021-10-28</x:v>
      </x:c>
      <x:c r="G15" s="14" t="str">
        <x:v>Veterinary World</x:v>
      </x:c>
      <x:c r="H15" s="14" t="str">
        <x:v>Journal</x:v>
      </x:c>
      <x:c r="I15" s="14" t="str">
        <x:v>Q1</x:v>
      </x:c>
      <x:c r="J15" s="14" t="str">
        <x:v>Scopus/SJR 2024</x:v>
      </x:c>
      <x:c r="K15" s="14" t="str">
        <x:v>https://doi.org/10.14202/vetworld.2021.2793-2802</x:v>
      </x:c>
      <x:c r="L15" s="14" t="str">
        <x:v>https://www.scimagojr.com/journalsearch.php?q=21100201717&amp;tip=sid</x:v>
      </x:c>
      <x:c r="M15" s="14" t="str">
        <x:v>Review</x:v>
      </x:c>
      <x:c r="N15" s="14" t="str">
        <x:v>N/A</x:v>
      </x:c>
      <x:c r="O15" s="14" t="str">
        <x:v>Review of prosthesis design/manufacture/osseointegration</x:v>
      </x:c>
      <x:c r="P15" s="14" t="str">
        <x:v>N/A</x:v>
      </x:c>
      <x:c r="Q15" s="14" t="str">
        <x:v>Sockets, osseointegration, CAD/CAM, additive manufacturing</x:v>
      </x:c>
      <x:c r="R15" s="14" t="str">
        <x:v>Review / no experimental cohort</x:v>
      </x:c>
      <x:c r="S15" s="14" t="str">
        <x:v>N/A</x:v>
      </x:c>
      <x:c r="T15" s="14" t="str">
        <x:v>N/A</x:v>
      </x:c>
      <x:c r="U15" s="14" t="str">
        <x:v>Overview of exo-prosthesis, endo-exo, design tech</x:v>
      </x:c>
      <x:c r="V15" s="14" t="str">
        <x:v>A strong review to map the prosthesis landscape: socket prostheses, osseointegration, custom manufacturing, and biomechanical considerations. Very useful for state-of-the-art chapter.</x:v>
      </x:c>
      <x:c r="W15" s="14" t="str">
        <x:v>Review points out that scientific evidence is still limited and often case-based; objective instrumentation remains rare.</x:v>
      </x:c>
      <x:c r="X15" s="14" t="str">
        <x:v>Use as main prosthesis technologies review.</x:v>
      </x:c>
    </x:row>
    <x:row r="16" ht="80" customHeight="1">
      <x:c r="A16" s="14" t="str">
        <x:v>Zhang2022</x:v>
      </x:c>
      <x:c r="B16" s="14" t="str">
        <x:v>Wearable sensing</x:v>
      </x:c>
      <x:c r="C16" s="14" t="str">
        <x:v>Four-limb wireless IMU sensor system for automatic gait detection in canines</x:v>
      </x:c>
      <x:c r="D16" s="14" t="str">
        <x:v>Zhang</x:v>
      </x:c>
      <x:c r="E16" s="14" t="n">
        <x:v>2022</x:v>
      </x:c>
      <x:c r="F16" s="14" t="str">
        <x:v>2022-03-21</x:v>
      </x:c>
      <x:c r="G16" s="14" t="str">
        <x:v>Scientific Reports</x:v>
      </x:c>
      <x:c r="H16" s="14" t="str">
        <x:v>Journal</x:v>
      </x:c>
      <x:c r="I16" s="14" t="str">
        <x:v>Q1</x:v>
      </x:c>
      <x:c r="J16" s="14" t="str">
        <x:v>Scopus/SJR 2024</x:v>
      </x:c>
      <x:c r="K16" s="14" t="str">
        <x:v>https://doi.org/10.1038/s41598-022-08676-1</x:v>
      </x:c>
      <x:c r="L16" s="14" t="str">
        <x:v>https://www.scimagojr.com/journalsearch.php?q=21100200805&amp;tip=sid</x:v>
      </x:c>
      <x:c r="M16" s="14" t="str">
        <x:v>4-limb wireless IMU gait detector</x:v>
      </x:c>
      <x:c r="N16" s="14" t="str">
        <x:v>Yes</x:v>
      </x:c>
      <x:c r="O16" s="14" t="str">
        <x:v>4 IMUs + algorithmic stride phase detection</x:v>
      </x:c>
      <x:c r="P16" s="14" t="str">
        <x:v>Yes</x:v>
      </x:c>
      <x:c r="Q16" s="14" t="str">
        <x:v>3D-printed sensor holders + IMUs</x:v>
      </x:c>
      <x:c r="R16" s="14" t="str">
        <x:v>4 mixed-breed dogs</x:v>
      </x:c>
      <x:c r="S16" s="14" t="str">
        <x:v>Walkway tests; mixed gait transitions observed</x:v>
      </x:c>
      <x:c r="T16" s="14" t="str">
        <x:v>100 (IMU), 180 (GAIT4Dog validation)</x:v>
      </x:c>
      <x:c r="U16" s="14" t="str">
        <x:v>Swing/stance timing for all four limbs</x:v>
      </x:c>
      <x:c r="V16" s="14" t="str">
        <x:v>Very relevant: four-limb wireless IMU system, 3D-printed mounts, and validation against a 180 Hz pressure walkway. Excellent evidence that 100 Hz is literature-consistent, with a stronger external reference at 180 Hz.</x:v>
      </x:c>
      <x:c r="W16" s="14" t="str">
        <x:v>Small sample and no force sensing embedded in the prosthesis itself; still external validation-heavy.</x:v>
      </x:c>
      <x:c r="X16" s="14" t="str">
        <x:v>Use as closest wearable engineering reference and validation benchmark.</x:v>
      </x:c>
    </x:row>
    <x:row r="17" ht="80" customHeight="1">
      <x:c r="A17" s="14" t="str">
        <x:v>Rosen2022</x:v>
      </x:c>
      <x:c r="B17" s="14" t="str">
        <x:v>Prosthesis / clinical outcomes</x:v>
      </x:c>
      <x:c r="C17" s="14" t="str">
        <x:v>Prospective evaluation of complications associated with orthosis and prosthesis use in canine patients</x:v>
      </x:c>
      <x:c r="D17" s="14" t="str">
        <x:v>Rosen</x:v>
      </x:c>
      <x:c r="E17" s="14" t="n">
        <x:v>2022</x:v>
      </x:c>
      <x:c r="F17" s="14" t="str">
        <x:v>2022-07-29</x:v>
      </x:c>
      <x:c r="G17" s="14" t="str">
        <x:v>Frontiers in Veterinary Science</x:v>
      </x:c>
      <x:c r="H17" s="14" t="str">
        <x:v>Journal</x:v>
      </x:c>
      <x:c r="I17" s="14" t="str">
        <x:v>Q1</x:v>
      </x:c>
      <x:c r="J17" s="14" t="str">
        <x:v>Scopus/SJR 2024</x:v>
      </x:c>
      <x:c r="K17" s="14" t="str">
        <x:v>https://doi.org/10.3389/fvets.2022.892662</x:v>
      </x:c>
      <x:c r="L17" s="14" t="str">
        <x:v>https://www.scimagojr.com/journalsearch.php?clean=0&amp;q=21100843693&amp;tip=sid</x:v>
      </x:c>
      <x:c r="M17" s="14" t="str">
        <x:v>Prospective orthosis/prosthesis clinical study</x:v>
      </x:c>
      <x:c r="N17" s="14" t="str">
        <x:v>No</x:v>
      </x:c>
      <x:c r="O17" s="14" t="str">
        <x:v>Objective gait analysis + owner/clinical follow-up</x:v>
      </x:c>
      <x:c r="P17" s="14" t="str">
        <x:v>Yes (devices), not instrumented</x:v>
      </x:c>
      <x:c r="Q17" s="14" t="str">
        <x:v>Custom orthoses and prostheses</x:v>
      </x:c>
      <x:c r="R17" s="14" t="str">
        <x:v>43 canine patients total; prosthesis subgroup n=7</x:v>
      </x:c>
      <x:c r="S17" s="14" t="str">
        <x:v>12-month follow-up with objective gait analysis</x:v>
      </x:c>
      <x:c r="T17" s="14" t="str">
        <x:v>N/R</x:v>
      </x:c>
      <x:c r="U17" s="14" t="str">
        <x:v>Complications, objective gait change, owner outcomes</x:v>
      </x:c>
      <x:c r="V17" s="14" t="str">
        <x:v>Important because it is prospective and uses objective gait analysis rather than only owner opinion. Also documents real-world complications, important for sensor packaging and attachment methods.</x:v>
      </x:c>
      <x:c r="W17" s="14" t="str">
        <x:v>Mixed orthosis/prosthesis cohort; prosthesis subgroup is small and devices themselves are not instrumented.</x:v>
      </x:c>
      <x:c r="X17" s="14" t="str">
        <x:v>Use for risk analysis: skin issues, acceptance, mechanical failures.</x:v>
      </x:c>
    </x:row>
    <x:row r="18" ht="80" customHeight="1">
      <x:c r="A18" s="14" t="str">
        <x:v>Wendland2023</x:v>
      </x:c>
      <x:c r="B18" s="14" t="str">
        <x:v>Prosthesis / clinical outcomes</x:v>
      </x:c>
      <x:c r="C18" s="14" t="str">
        <x:v>Prospective evaluation of canine partial limb amputation with socket prostheses</x:v>
      </x:c>
      <x:c r="D18" s="14" t="str">
        <x:v>Wendland</x:v>
      </x:c>
      <x:c r="E18" s="14" t="n">
        <x:v>2023</x:v>
      </x:c>
      <x:c r="F18" s="14" t="str">
        <x:v>2023-06-07 (Epub) / 2023-07 issue</x:v>
      </x:c>
      <x:c r="G18" s="14" t="str">
        <x:v>Veterinary Medicine and Science</x:v>
      </x:c>
      <x:c r="H18" s="14" t="str">
        <x:v>Journal</x:v>
      </x:c>
      <x:c r="I18" s="14" t="str">
        <x:v>Q1</x:v>
      </x:c>
      <x:c r="J18" s="14" t="str">
        <x:v>Scopus/SJR 2024</x:v>
      </x:c>
      <x:c r="K18" s="14" t="str">
        <x:v>https://doi.org/10.1002/vms3.1146</x:v>
      </x:c>
      <x:c r="L18" s="14" t="str">
        <x:v>https://www.scimagojr.com/journalsearch.php?q=21100869514&amp;tip=sid</x:v>
      </x:c>
      <x:c r="M18" s="14" t="str">
        <x:v>Prospective socket prosthesis study</x:v>
      </x:c>
      <x:c r="N18" s="14" t="str">
        <x:v>No</x:v>
      </x:c>
      <x:c r="O18" s="14" t="str">
        <x:v>Objective gait analysis + owner satisfaction</x:v>
      </x:c>
      <x:c r="P18" s="14" t="str">
        <x:v>Yes (prosthesis), but not instrumented</x:v>
      </x:c>
      <x:c r="Q18" s="14" t="str">
        <x:v>Socket prostheses</x:v>
      </x:c>
      <x:c r="R18" s="14" t="str">
        <x:v>12 client-owned dogs</x:v>
      </x:c>
      <x:c r="S18" s="14" t="str">
        <x:v>Prospective clinical follow-up</x:v>
      </x:c>
      <x:c r="T18" s="14" t="str">
        <x:v>N/R</x:v>
      </x:c>
      <x:c r="U18" s="14" t="str">
        <x:v>Function, owner satisfaction, complications</x:v>
      </x:c>
      <x:c r="V18" s="14" t="str">
        <x:v>One of the better prosthesis outcome papers because it is prospective and includes objective gait analysis. Useful evidence that prostheses can improve function but still have non-trivial complication/acceptance challenges.</x:v>
      </x:c>
      <x:c r="W18" s="14" t="str">
        <x:v>Sample remains small and sensing is external to the prosthesis; still no continuous force/motion logging.</x:v>
      </x:c>
      <x:c r="X18" s="14" t="str">
        <x:v>Use as direct clinical comparison for thesis outcomes and gap.</x:v>
      </x:c>
    </x:row>
    <x:row r="19" ht="80" customHeight="1">
      <x:c r="A19" s="14" t="str">
        <x:v>Blattler2024</x:v>
      </x:c>
      <x:c r="B19" s="14" t="str">
        <x:v>Wearable sensing</x:v>
      </x:c>
      <x:c r="C19" s="14" t="str">
        <x:v>Serial kinematic analysis using inertial measurement units in growing dogs at risk of hip dysplasia</x:v>
      </x:c>
      <x:c r="D19" s="14" t="str">
        <x:v>Blättler</x:v>
      </x:c>
      <x:c r="E19" s="14" t="n">
        <x:v>2024</x:v>
      </x:c>
      <x:c r="F19" s="14" t="str">
        <x:v>2024-07-30</x:v>
      </x:c>
      <x:c r="G19" s="14" t="str">
        <x:v>Veterinary and Animal Science</x:v>
      </x:c>
      <x:c r="H19" s="14" t="str">
        <x:v>Journal</x:v>
      </x:c>
      <x:c r="I19" s="14" t="str">
        <x:v>Q1</x:v>
      </x:c>
      <x:c r="J19" s="14" t="str">
        <x:v>Scopus/SJR 2024</x:v>
      </x:c>
      <x:c r="K19" s="14" t="str">
        <x:v>https://doi.org/10.1016/j.vas.2024.100385</x:v>
      </x:c>
      <x:c r="L19" s="14" t="str">
        <x:v>https://www.scimagojr.com/journalsearch.php?q=21100894506&amp;tip=sid</x:v>
      </x:c>
      <x:c r="M19" s="14" t="str">
        <x:v>Longitudinal IMU kinematic study</x:v>
      </x:c>
      <x:c r="N19" s="14" t="str">
        <x:v>Yes</x:v>
      </x:c>
      <x:c r="O19" s="14" t="str">
        <x:v>IMU-based gait analysis system</x:v>
      </x:c>
      <x:c r="P19" s="14" t="str">
        <x:v>Yes</x:v>
      </x:c>
      <x:c r="Q19" s="14" t="str">
        <x:v>Inertial measurement sensors</x:v>
      </x:c>
      <x:c r="R19" s="14" t="str">
        <x:v>54 dogs</x:v>
      </x:c>
      <x:c r="S19" s="14" t="str">
        <x:v>Serial follow-up from 12 weeks to 15 months</x:v>
      </x:c>
      <x:c r="T19" s="14" t="str">
        <x:v>N/R</x:v>
      </x:c>
      <x:c r="U19" s="14" t="str">
        <x:v>Variance-based gait characteristics vs dysplasia risk</x:v>
      </x:c>
      <x:c r="V19" s="14" t="str">
        <x:v>Recent evidence that IMU systems can support longitudinal canine gait monitoring in larger cohorts. Strong support for repeated objective sensing to reveal clinically meaningful changes over time.</x:v>
      </x:c>
      <x:c r="W19" s="14" t="str">
        <x:v>Not prosthesis-specific and sampling details are not obvious from accessible abstract metadata.</x:v>
      </x:c>
      <x:c r="X19" s="14" t="str">
        <x:v>Use to support longitudinal monitoring argument.</x:v>
      </x:c>
    </x:row>
    <x:row r="20" ht="80" customHeight="1">
      <x:c r="A20" s="14" t="str">
        <x:v>Wang2019</x:v>
      </x:c>
      <x:c r="B20" s="14" t="str">
        <x:v>Machine learning / features</x:v>
      </x:c>
      <x:c r="C20" s="14" t="str">
        <x:v>Human activity recognition using wearable sensors: A review</x:v>
      </x:c>
      <x:c r="D20" s="14" t="str">
        <x:v>Wang</x:v>
      </x:c>
      <x:c r="E20" s="14" t="n">
        <x:v>2019</x:v>
      </x:c>
      <x:c r="F20" s="14" t="str">
        <x:v>2019-05-05</x:v>
      </x:c>
      <x:c r="G20" s="14" t="str">
        <x:v>Sensors</x:v>
      </x:c>
      <x:c r="H20" s="14" t="str">
        <x:v>Journal</x:v>
      </x:c>
      <x:c r="I20" s="14" t="str">
        <x:v>Q1</x:v>
      </x:c>
      <x:c r="J20" s="14" t="str">
        <x:v>Scopus/SJR 2024</x:v>
      </x:c>
      <x:c r="K20" s="14" t="str">
        <x:v>https://doi.org/10.3390/s19092175</x:v>
      </x:c>
      <x:c r="L20" s="14" t="str">
        <x:v>https://www.scimagojr.com/journalsearch.php?q=130124&amp;tip=sid</x:v>
      </x:c>
      <x:c r="M20" s="14" t="str">
        <x:v>Review / HAR feature taxonomy</x:v>
      </x:c>
      <x:c r="N20" s="14" t="str">
        <x:v>N/A</x:v>
      </x:c>
      <x:c r="O20" s="14" t="str">
        <x:v>Wearable sensors; time/frequency-domain ML features</x:v>
      </x:c>
      <x:c r="P20" s="14" t="str">
        <x:v>Yes</x:v>
      </x:c>
      <x:c r="Q20" s="14" t="str">
        <x:v>N/A</x:v>
      </x:c>
      <x:c r="R20" s="14" t="str">
        <x:v>Review / no experimental cohort</x:v>
      </x:c>
      <x:c r="S20" s="14" t="str">
        <x:v>Human activity recognition</x:v>
      </x:c>
      <x:c r="T20" s="14" t="str">
        <x:v>N/A</x:v>
      </x:c>
      <x:c r="U20" s="14" t="str">
        <x:v>Feature extraction and ML model families for wearable data</x:v>
      </x:c>
      <x:c r="V20" s="14" t="str">
        <x:v>Useful non-canine methodological review for translating wearable-sensor pipelines: segmentation, feature extraction, model selection and evaluation. Helps justify using raw IMU/load-cell data for later classification/regression.</x:v>
      </x:c>
      <x:c r="W20" s="14" t="str">
        <x:v>Human-focused, not canine or prosthesis-specific; should be cited as methods support rather than veterinary evidence.</x:v>
      </x:c>
      <x:c r="X20" s="14" t="str">
        <x:v>Use in methodology for feature extraction and classification pipeline.</x:v>
      </x:c>
    </x:row>
    <x:row r="21" ht="80" customHeight="1">
      <x:c r="A21" s="14" t="str">
        <x:v>Bulling2014</x:v>
      </x:c>
      <x:c r="B21" s="14" t="str">
        <x:v>Machine learning / features</x:v>
      </x:c>
      <x:c r="C21" s="14" t="str">
        <x:v>A tutorial on human activity recognition using body-worn sensors</x:v>
      </x:c>
      <x:c r="D21" s="14" t="str">
        <x:v>Bulling</x:v>
      </x:c>
      <x:c r="E21" s="14" t="n">
        <x:v>2014</x:v>
      </x:c>
      <x:c r="F21" s="14" t="str">
        <x:v>2014</x:v>
      </x:c>
      <x:c r="G21" s="14" t="str">
        <x:v>ACM Computing Surveys</x:v>
      </x:c>
      <x:c r="H21" s="14" t="str">
        <x:v>Journal</x:v>
      </x:c>
      <x:c r="I21" s="14" t="str">
        <x:v>Q1</x:v>
      </x:c>
      <x:c r="J21" s="14" t="str">
        <x:v>Scopus/SJR 2024</x:v>
      </x:c>
      <x:c r="K21" s="14" t="str">
        <x:v>https://doi.org/10.1145/2499621</x:v>
      </x:c>
      <x:c r="L21" s="14" t="str">
        <x:v>https://www.scimagojr.com/journalsearch.php?q=24235&amp;tip=sid</x:v>
      </x:c>
      <x:c r="M21" s="14" t="str">
        <x:v>Tutorial / HAR methods</x:v>
      </x:c>
      <x:c r="N21" s="14" t="str">
        <x:v>N/A</x:v>
      </x:c>
      <x:c r="O21" s="14" t="str">
        <x:v>Body-worn inertial sensors; signal segmentation and classification</x:v>
      </x:c>
      <x:c r="P21" s="14" t="str">
        <x:v>Yes</x:v>
      </x:c>
      <x:c r="Q21" s="14" t="str">
        <x:v>N/A</x:v>
      </x:c>
      <x:c r="R21" s="14" t="str">
        <x:v>Tutorial / no experimental cohort</x:v>
      </x:c>
      <x:c r="S21" s="14" t="str">
        <x:v>Human activity recognition</x:v>
      </x:c>
      <x:c r="T21" s="14" t="str">
        <x:v>N/A</x:v>
      </x:c>
      <x:c r="U21" s="14" t="str">
        <x:v>Pipeline: sensing, preprocessing, segmentation, features, classification</x:v>
      </x:c>
      <x:c r="V21" s="14" t="str">
        <x:v>Strong engineering-methods citation for the complete wearable-sensor recognition pipeline. Useful to structure the thesis processing architecture without overclaiming canine-specific validation.</x:v>
      </x:c>
      <x:c r="W21" s="14" t="str">
        <x:v>General human HAR tutorial; not direct evidence for canine prosthesis acceptance.</x:v>
      </x:c>
      <x:c r="X21" s="14" t="str">
        <x:v>Use to describe data pipeline architecture and segmentation/windowing.</x:v>
      </x:c>
    </x:row>
    <x:row r="22" ht="80" customHeight="1">
      <x:c r="A22" s="14" t="str">
        <x:v>Preece2009</x:v>
      </x:c>
      <x:c r="B22" s="14" t="str">
        <x:v>Machine learning / features</x:v>
      </x:c>
      <x:c r="C22" s="14" t="str">
        <x:v>A comparison of feature extraction methods for classification of dynamic activities</x:v>
      </x:c>
      <x:c r="D22" s="14" t="str">
        <x:v>Preece</x:v>
      </x:c>
      <x:c r="E22" s="14" t="n">
        <x:v>2009</x:v>
      </x:c>
      <x:c r="F22" s="14" t="str">
        <x:v>2009-05</x:v>
      </x:c>
      <x:c r="G22" s="14" t="str">
        <x:v>Medical Engineering &amp; Physics</x:v>
      </x:c>
      <x:c r="H22" s="14" t="str">
        <x:v>Journal</x:v>
      </x:c>
      <x:c r="I22" s="14" t="str">
        <x:v>Q1</x:v>
      </x:c>
      <x:c r="J22" s="14" t="str">
        <x:v>Scopus/SJR 2024</x:v>
      </x:c>
      <x:c r="K22" s="14" t="str">
        <x:v>https://doi.org/10.1016/j.medengphy.2009.02.002</x:v>
      </x:c>
      <x:c r="L22" s="14" t="str">
        <x:v>https://www.scimagojr.com/journalsearch.php?q=18879&amp;tip=sid</x:v>
      </x:c>
      <x:c r="M22" s="14" t="str">
        <x:v>Feature extraction comparison</x:v>
      </x:c>
      <x:c r="N22" s="14" t="str">
        <x:v>N/A</x:v>
      </x:c>
      <x:c r="O22" s="14" t="str">
        <x:v>Wearable accelerometer features</x:v>
      </x:c>
      <x:c r="P22" s="14" t="str">
        <x:v>Yes</x:v>
      </x:c>
      <x:c r="Q22" s="14" t="str">
        <x:v>N/A</x:v>
      </x:c>
      <x:c r="R22" s="14" t="str">
        <x:v>Human activity dataset / feature comparison</x:v>
      </x:c>
      <x:c r="S22" s="14" t="str">
        <x:v>Dynamic activity classification</x:v>
      </x:c>
      <x:c r="T22" s="14" t="str">
        <x:v>N/R</x:v>
      </x:c>
      <x:c r="U22" s="14" t="str">
        <x:v>Time, frequency and wavelet features for activity classification</x:v>
      </x:c>
      <x:c r="V22" s="14" t="str">
        <x:v>Useful methodological paper for deciding which features to compute from IMU/load-cell windows: statistical, frequency and possibly wavelet descriptors.</x:v>
      </x:c>
      <x:c r="W22" s="14" t="str">
        <x:v>Human activity context; older than newer deep-learning approaches; not canine-specific.</x:v>
      </x:c>
      <x:c r="X22" s="14" t="str">
        <x:v>Use to justify feature families for preliminary analysis.</x:v>
      </x:c>
    </x:row>
    <x:row r="23" ht="80" customHeight="1">
      <x:c r="A23" s="14" t="str">
        <x:v>Bosch2017</x:v>
      </x:c>
      <x:c r="B23" s="14" t="str">
        <x:v>Machine learning / features</x:v>
      </x:c>
      <x:c r="C23" s="14" t="str">
        <x:v>Automated detection of lameness in dogs using machine learning</x:v>
      </x:c>
      <x:c r="D23" s="14" t="str">
        <x:v>Bosch</x:v>
      </x:c>
      <x:c r="E23" s="14" t="n">
        <x:v>2017</x:v>
      </x:c>
      <x:c r="F23" s="14" t="str">
        <x:v>2017-02</x:v>
      </x:c>
      <x:c r="G23" s="14" t="str">
        <x:v>The Veterinary Journal</x:v>
      </x:c>
      <x:c r="H23" s="14" t="str">
        <x:v>Journal</x:v>
      </x:c>
      <x:c r="I23" s="14" t="str">
        <x:v>Q1</x:v>
      </x:c>
      <x:c r="J23" s="14" t="str">
        <x:v>Scopus/SJR 2024</x:v>
      </x:c>
      <x:c r="K23" s="14" t="str">
        <x:v>https://doi.org/10.1016/j.tvjl.2017.01.005</x:v>
      </x:c>
      <x:c r="L23" s="14" t="str">
        <x:v>https://www.scimagojr.com/journalsearch.php?q=19524&amp;tip=sid</x:v>
      </x:c>
      <x:c r="M23" s="14" t="str">
        <x:v>Canine lameness ML classifier</x:v>
      </x:c>
      <x:c r="N23" s="14" t="str">
        <x:v>Yes</x:v>
      </x:c>
      <x:c r="O23" s="14" t="str">
        <x:v>Objective gait/kinematic data + ML</x:v>
      </x:c>
      <x:c r="P23" s="14" t="str">
        <x:v>No / lab-oriented</x:v>
      </x:c>
      <x:c r="Q23" s="14" t="str">
        <x:v>N/A</x:v>
      </x:c>
      <x:c r="R23" s="14" t="str">
        <x:v>Dogs with/without lameness; dataset from gait analysis</x:v>
      </x:c>
      <x:c r="S23" s="14" t="str">
        <x:v>Canine lameness detection</x:v>
      </x:c>
      <x:c r="T23" s="14" t="str">
        <x:v>N/R</x:v>
      </x:c>
      <x:c r="U23" s="14" t="str">
        <x:v>Automated classification of lameness from quantitative gait features</x:v>
      </x:c>
      <x:c r="V23" s="14" t="str">
        <x:v>Important bridge between veterinary gait analysis and ML. Supports the thesis direction of moving from sensor measurements to objective acceptance/abnormality indicators.</x:v>
      </x:c>
      <x:c r="W23" s="14" t="str">
        <x:v>Depends on external measurement conditions and available labelled data; not prosthesis-integrated continuous sensing.</x:v>
      </x:c>
      <x:c r="X23" s="14" t="str">
        <x:v>Use as direct evidence that canine lameness can be approached algorithmically.</x:v>
      </x:c>
    </x:row>
    <x:row r="24" ht="80" customHeight="1">
      <x:c r="A24" s="14" t="str">
        <x:v>Trojaniello2014</x:v>
      </x:c>
      <x:c r="B24" s="14" t="str">
        <x:v>Machine learning / features</x:v>
      </x:c>
      <x:c r="C24" s="14" t="str">
        <x:v>Gait event detection using a single wearable inertial sensor</x:v>
      </x:c>
      <x:c r="D24" s="14" t="str">
        <x:v>Trojaniello</x:v>
      </x:c>
      <x:c r="E24" s="14" t="n">
        <x:v>2014</x:v>
      </x:c>
      <x:c r="F24" s="14" t="str">
        <x:v>2014</x:v>
      </x:c>
      <x:c r="G24" s="14" t="str">
        <x:v>IEEE Transactions on Biomedical Engineering</x:v>
      </x:c>
      <x:c r="H24" s="14" t="str">
        <x:v>Journal</x:v>
      </x:c>
      <x:c r="I24" s="14" t="str">
        <x:v>Q1</x:v>
      </x:c>
      <x:c r="J24" s="14" t="str">
        <x:v>Scopus/SJR 2024</x:v>
      </x:c>
      <x:c r="K24" s="14" t="str">
        <x:v>https://doi.org/10.1109/TBME.2014.2307951</x:v>
      </x:c>
      <x:c r="L24" s="14" t="str">
        <x:v>https://www.scimagojr.com/journalsearch.php?q=24267&amp;tip=sid</x:v>
      </x:c>
      <x:c r="M24" s="14" t="str">
        <x:v>Wearable gait-event detection algorithm</x:v>
      </x:c>
      <x:c r="N24" s="14" t="str">
        <x:v>N/A</x:v>
      </x:c>
      <x:c r="O24" s="14" t="str">
        <x:v>Single wearable inertial sensor</x:v>
      </x:c>
      <x:c r="P24" s="14" t="str">
        <x:v>Yes</x:v>
      </x:c>
      <x:c r="Q24" s="14" t="str">
        <x:v>N/A</x:v>
      </x:c>
      <x:c r="R24" s="14" t="str">
        <x:v>Human gait validation cohort</x:v>
      </x:c>
      <x:c r="S24" s="14" t="str">
        <x:v>Human gait event detection</x:v>
      </x:c>
      <x:c r="T24" s="14" t="str">
        <x:v>N/R</x:v>
      </x:c>
      <x:c r="U24" s="14" t="str">
        <x:v>Initial/final contact event detection from IMU</x:v>
      </x:c>
      <x:c r="V24" s="14" t="str">
        <x:v>Good technical precedent for robust gait-event detection from a single IMU. Useful algorithmic reference when adapting contact-event logic to the prosthesis sensor stream.</x:v>
      </x:c>
      <x:c r="W24" s="14" t="str">
        <x:v>Human bipedal gait, not canine quadrupedal gait; algorithm transfer requires adaptation and validation.</x:v>
      </x:c>
      <x:c r="X24" s="14" t="str">
        <x:v>Use for signal-processing/event-detection methods.</x:v>
      </x:c>
    </x:row>
  </x:sheetData>
  <x:conditionalFormatting sqref="B2:B24">
    <x:cfRule type="expression" dxfId="0" priority="1">
      <x:formula>$B2="Wearable sensing"</x:formula>
    </x:cfRule>
    <x:cfRule type="expression" dxfId="1" priority="2">
      <x:formula>$B2="Prosthesis / clinical outcomes"</x:formula>
    </x:cfRule>
    <x:cfRule type="expression" dxfId="2" priority="3">
      <x:formula>$B2="Background gait biomechanics"</x:formula>
    </x:cfRule>
    <x:cfRule type="expression" dxfId="3" priority="4">
      <x:formula>$B2="Machine learning / features"</x:formula>
    </x:cfRule>
  </x:conditionalFormatting>
  <x:conditionalFormatting sqref="I2:I24">
    <x:cfRule type="expression" dxfId="4" priority="5">
      <x:formula>$I2="Q1"</x:formula>
    </x:cfRule>
    <x:cfRule type="expression" dxfId="5" priority="6">
      <x:formula>$I2="Q2"</x:formula>
    </x:cfRule>
  </x:conditionalFormatting>
  <x:conditionalFormatting sqref="N2:N24">
    <x:cfRule type="expression" dxfId="6" priority="7">
      <x:formula>$N2="Yes"</x:formula>
    </x:cfRule>
  </x:conditionalFormatting>
  <x:conditionalFormatting sqref="P2:P24">
    <x:cfRule type="expression" dxfId="7" priority="8">
      <x:formula>LEFT($P2,3)="Yes"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b2cc3f384b49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30" hidden="0" customWidth="1"/>
    <x:col min="5" max="5" width="30" hidden="0" customWidth="1"/>
  </x:cols>
  <x:sheetData>
    <x:row r="1">
      <x:c r="A1" s="17" t="str">
        <x:v>PetBionics paper matrix — summary</x:v>
      </x:c>
    </x:row>
    <x:row r="3">
      <x:c r="A3" s="21" t="str">
        <x:v>Metric</x:v>
      </x:c>
      <x:c r="B3" s="21" t="str">
        <x:v>Value</x:v>
      </x:c>
      <x:c r="D3" s="21" t="str">
        <x:v>Subarea</x:v>
      </x:c>
      <x:c r="E3" s="21" t="str">
        <x:v>Count</x:v>
      </x:c>
    </x:row>
    <x:row r="4">
      <x:c r="A4" t="str">
        <x:v>Total papers</x:v>
      </x:c>
      <x:c r="B4" s="24" t="n">
        <x:f>COUNTA(Papers!$A$2:$A$24)</x:f>
        <x:v>23</x:v>
      </x:c>
      <x:c r="D4" t="str">
        <x:v>Background gait biomechanics</x:v>
      </x:c>
      <x:c r="E4" t="n">
        <x:f>COUNTIF(Papers!$B$2:$B$24,D4)</x:f>
        <x:v>8</x:v>
      </x:c>
    </x:row>
    <x:row r="5">
      <x:c r="A5" t="str">
        <x:v>Background biomechanics</x:v>
      </x:c>
      <x:c r="B5" s="24" t="n">
        <x:f>COUNTIF(Papers!$B$2:$B$24,"Background gait biomechanics")</x:f>
        <x:v>8</x:v>
      </x:c>
      <x:c r="D5" t="str">
        <x:v>Wearable sensing</x:v>
      </x:c>
      <x:c r="E5" t="n">
        <x:f>COUNTIF(Papers!$B$2:$B$24,D5)</x:f>
        <x:v>5</x:v>
      </x:c>
    </x:row>
    <x:row r="6">
      <x:c r="A6" t="str">
        <x:v>Wearable sensing</x:v>
      </x:c>
      <x:c r="B6" s="24" t="n">
        <x:f>COUNTIF(Papers!$B$2:$B$24,"Wearable sensing")</x:f>
        <x:v>5</x:v>
      </x:c>
      <x:c r="D6" t="str">
        <x:v>Prosthesis / clinical outcomes</x:v>
      </x:c>
      <x:c r="E6" t="n">
        <x:f>COUNTIF(Papers!$B$2:$B$24,D6)</x:f>
        <x:v>5</x:v>
      </x:c>
    </x:row>
    <x:row r="7">
      <x:c r="A7" t="str">
        <x:v>Prosthesis / clinical outcomes</x:v>
      </x:c>
      <x:c r="B7" s="24" t="n">
        <x:f>COUNTIF(Papers!$B$2:$B$24,"Prosthesis / clinical outcomes")</x:f>
        <x:v>5</x:v>
      </x:c>
      <x:c r="D7" t="str">
        <x:v>Machine learning / features</x:v>
      </x:c>
      <x:c r="E7" t="n">
        <x:f>COUNTIF(Papers!$B$2:$B$24,D7)</x:f>
        <x:v>5</x:v>
      </x:c>
    </x:row>
    <x:row r="8">
      <x:c r="A8" t="str">
        <x:v>Machine learning / features</x:v>
      </x:c>
      <x:c r="B8" s="24" t="n">
        <x:f>COUNTIF(Papers!$B$2:$B$24,"Machine learning / features")</x:f>
        <x:v>5</x:v>
      </x:c>
      <x:c r="D8" t="str">
        <x:v>Total</x:v>
      </x:c>
      <x:c r="E8" t="n">
        <x:f>SUM(E4:E7)</x:f>
        <x:v>23</x:v>
      </x:c>
    </x:row>
    <x:row r="9">
      <x:c r="A9" t="str">
        <x:v>Instrumented device/prosthesis</x:v>
      </x:c>
      <x:c r="B9" s="24" t="n">
        <x:f>COUNTIF(Papers!$N$2:$N$24,"Yes")</x:f>
        <x:v>13</x:v>
      </x:c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eb9a17ecb57c44dd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70" hidden="0" customWidth="1"/>
    <x:col min="4" max="4" width="46" hidden="0" customWidth="1"/>
  </x:cols>
  <x:sheetData>
    <x:row r="1">
      <x:c r="A1" s="3" t="str">
        <x:v>Citation key</x:v>
      </x:c>
      <x:c r="B1" s="3" t="str">
        <x:v>BibTeX entry type</x:v>
      </x:c>
      <x:c r="C1" s="3" t="str">
        <x:v>Paper</x:v>
      </x:c>
      <x:c r="D1" s="3" t="str">
        <x:v>DOI / URL</x:v>
      </x:c>
    </x:row>
    <x:row r="2" ht="38" customHeight="1">
      <x:c r="A2" s="12" t="str">
        <x:v>McLaughlin1994</x:v>
      </x:c>
      <x:c r="B2" s="12" t="str">
        <x:v>article</x:v>
      </x:c>
      <x:c r="C2" s="12" t="str">
        <x:v>Effects of subject stance time and velocity on ground reaction forces in clinically normal greyhounds at the trot</x:v>
      </x:c>
      <x:c r="D2" s="12" t="str">
        <x:v>https://pubmed.ncbi.nlm.nih.gov/7887508/</x:v>
      </x:c>
    </x:row>
    <x:row r="3" ht="38" customHeight="1">
      <x:c r="A3" s="12" t="str">
        <x:v>Budsberg1996</x:v>
      </x:c>
      <x:c r="B3" s="12" t="str">
        <x:v>article</x:v>
      </x:c>
      <x:c r="C3" s="12" t="str">
        <x:v>Prospective evaluation of ground reaction forces in dogs undergoing unilateral total hip replacement</x:v>
      </x:c>
      <x:c r="D3" s="12" t="str">
        <x:v>https://pubmed.ncbi.nlm.nih.gov/8950435/</x:v>
      </x:c>
    </x:row>
    <x:row r="4" ht="38" customHeight="1">
      <x:c r="A4" s="12" t="str">
        <x:v>McLaughlin2001</x:v>
      </x:c>
      <x:c r="B4" s="12" t="str">
        <x:v>article</x:v>
      </x:c>
      <x:c r="C4" s="12" t="str">
        <x:v>Kinetic and kinematic gait analysis in dogs</x:v>
      </x:c>
      <x:c r="D4" s="12" t="str">
        <x:v>https://doi.org/10.1016/S0195-5616(01)50045-5</x:v>
      </x:c>
    </x:row>
    <x:row r="5" ht="38" customHeight="1">
      <x:c r="A5" s="12" t="str">
        <x:v>Oosterlinck2011</x:v>
      </x:c>
      <x:c r="B5" s="12" t="str">
        <x:v>article</x:v>
      </x:c>
      <x:c r="C5" s="12" t="str">
        <x:v>Accuracy of pressure plate kinetic asymmetry indices and their correlation with visual gait assessment scores in lame and nonlame dogs</x:v>
      </x:c>
      <x:c r="D5" s="12" t="str">
        <x:v>https://doi.org/10.2460/ajvr.72.6.820</x:v>
      </x:c>
    </x:row>
    <x:row r="6" ht="38" customHeight="1">
      <x:c r="A6" s="12" t="str">
        <x:v>Druen2012</x:v>
      </x:c>
      <x:c r="B6" s="12" t="str">
        <x:v>article</x:v>
      </x:c>
      <x:c r="C6" s="12" t="str">
        <x:v>Computer-based gait analysis of dogs: evaluation of kinetic and kinematic parameters after cemented and cementless total hip replacement</x:v>
      </x:c>
      <x:c r="D6" s="12" t="str">
        <x:v>https://doi.org/10.3415/VCOT-10-02-0026</x:v>
      </x:c>
    </x:row>
    <x:row r="7" ht="38" customHeight="1">
      <x:c r="A7" s="12" t="str">
        <x:v>Fischer2013</x:v>
      </x:c>
      <x:c r="B7" s="12" t="str">
        <x:v>article</x:v>
      </x:c>
      <x:c r="C7" s="12" t="str">
        <x:v>Compensatory load redistribution in walking and trotting dogs with hind limb lameness</x:v>
      </x:c>
      <x:c r="D7" s="12" t="str">
        <x:v>https://doi.org/10.1016/j.tvjl.2013.04.009</x:v>
      </x:c>
    </x:row>
    <x:row r="8" ht="38" customHeight="1">
      <x:c r="A8" s="12" t="str">
        <x:v>Ladha2017</x:v>
      </x:c>
      <x:c r="B8" s="12" t="str">
        <x:v>article</x:v>
      </x:c>
      <x:c r="C8" s="12" t="str">
        <x:v>GaitKeeper: A System for Measuring Canine Gait</x:v>
      </x:c>
      <x:c r="D8" s="12" t="str">
        <x:v>https://doi.org/10.3390/s17020309</x:v>
      </x:c>
    </x:row>
    <x:row r="9" ht="38" customHeight="1">
      <x:c r="A9" s="12" t="str">
        <x:v>Jenkins2018</x:v>
      </x:c>
      <x:c r="B9" s="12" t="str">
        <x:v>article</x:v>
      </x:c>
      <x:c r="C9" s="12" t="str">
        <x:v>Automatic characterization of stride parameters in canines with a single wearable inertial sensor</x:v>
      </x:c>
      <x:c r="D9" s="12" t="str">
        <x:v>https://doi.org/10.1371/journal.pone.0198893</x:v>
      </x:c>
    </x:row>
    <x:row r="10" ht="38" customHeight="1">
      <x:c r="A10" s="12" t="str">
        <x:v>Fahie2018</x:v>
      </x:c>
      <x:c r="B10" s="12" t="str">
        <x:v>article</x:v>
      </x:c>
      <x:c r="C10" s="12" t="str">
        <x:v>Pressure Mat Analysis of Walk and Trot Gait Characteristics in 66 Normal Small, Medium, Large, and Giant Breed Dogs</x:v>
      </x:c>
      <x:c r="D10" s="12" t="str">
        <x:v>https://doi.org/10.3389/fvets.2018.00256</x:v>
      </x:c>
    </x:row>
    <x:row r="11" ht="38" customHeight="1">
      <x:c r="A11" s="12" t="str">
        <x:v>Wendland2019</x:v>
      </x:c>
      <x:c r="B11" s="12" t="str">
        <x:v>article</x:v>
      </x:c>
      <x:c r="C11" s="12" t="str">
        <x:v>Retrospective Multi-Center Analysis of Canine Socket Prostheses for Partial Limbs</x:v>
      </x:c>
      <x:c r="D11" s="12" t="str">
        <x:v>https://doi.org/10.3389/fvets.2019.00100</x:v>
      </x:c>
    </x:row>
    <x:row r="12" ht="38" customHeight="1">
      <x:c r="A12" s="12" t="str">
        <x:v>Hayati2019</x:v>
      </x:c>
      <x:c r="B12" s="12" t="str">
        <x:v>article</x:v>
      </x:c>
      <x:c r="C12" s="12" t="str">
        <x:v>Analysis of Agile Canine Gait Characteristics Using Accelerometry</x:v>
      </x:c>
      <x:c r="D12" s="12" t="str">
        <x:v>https://doi.org/10.3390/s19204379</x:v>
      </x:c>
    </x:row>
    <x:row r="13" ht="38" customHeight="1">
      <x:c r="A13" s="12" t="str">
        <x:v>Moreira2020</x:v>
      </x:c>
      <x:c r="B13" s="12" t="str">
        <x:v>article</x:v>
      </x:c>
      <x:c r="C13" s="12" t="str">
        <x:v>Comparison of the Vertical Force Distribution in the Paws of Dogs with Coxarthrosis and Sound Dogs Walking over a Pressure Plate</x:v>
      </x:c>
      <x:c r="D13" s="12" t="str">
        <x:v>https://doi.org/10.3390/ani10060986</x:v>
      </x:c>
    </x:row>
    <x:row r="14" ht="38" customHeight="1">
      <x:c r="A14" s="12" t="str">
        <x:v>Seguin2020</x:v>
      </x:c>
      <x:c r="B14" s="12" t="str">
        <x:v>article</x:v>
      </x:c>
      <x:c r="C14" s="12" t="str">
        <x:v>Limb-sparing in dogs using patient-specific, three-dimensional-printed endoprosthesis for distal radial osteosarcoma: A pilot study</x:v>
      </x:c>
      <x:c r="D14" s="12" t="str">
        <x:v>https://doi.org/10.1111/vco.12515</x:v>
      </x:c>
    </x:row>
    <x:row r="15" ht="38" customHeight="1">
      <x:c r="A15" s="12" t="str">
        <x:v>Arauz2021</x:v>
      </x:c>
      <x:c r="B15" s="12" t="str">
        <x:v>article</x:v>
      </x:c>
      <x:c r="C15" s="12" t="str">
        <x:v>New technologies applied to canine limb prostheses: A review</x:v>
      </x:c>
      <x:c r="D15" s="12" t="str">
        <x:v>https://doi.org/10.14202/vetworld.2021.2793-2802</x:v>
      </x:c>
    </x:row>
    <x:row r="16" ht="38" customHeight="1">
      <x:c r="A16" s="12" t="str">
        <x:v>Zhang2022</x:v>
      </x:c>
      <x:c r="B16" s="12" t="str">
        <x:v>article</x:v>
      </x:c>
      <x:c r="C16" s="12" t="str">
        <x:v>Four-limb wireless IMU sensor system for automatic gait detection in canines</x:v>
      </x:c>
      <x:c r="D16" s="12" t="str">
        <x:v>https://doi.org/10.1038/s41598-022-08676-1</x:v>
      </x:c>
    </x:row>
    <x:row r="17" ht="38" customHeight="1">
      <x:c r="A17" s="12" t="str">
        <x:v>Rosen2022</x:v>
      </x:c>
      <x:c r="B17" s="12" t="str">
        <x:v>article</x:v>
      </x:c>
      <x:c r="C17" s="12" t="str">
        <x:v>Prospective evaluation of complications associated with orthosis and prosthesis use in canine patients</x:v>
      </x:c>
      <x:c r="D17" s="12" t="str">
        <x:v>https://doi.org/10.3389/fvets.2022.892662</x:v>
      </x:c>
    </x:row>
    <x:row r="18" ht="38" customHeight="1">
      <x:c r="A18" s="12" t="str">
        <x:v>Wendland2023</x:v>
      </x:c>
      <x:c r="B18" s="12" t="str">
        <x:v>article</x:v>
      </x:c>
      <x:c r="C18" s="12" t="str">
        <x:v>Prospective evaluation of canine partial limb amputation with socket prostheses</x:v>
      </x:c>
      <x:c r="D18" s="12" t="str">
        <x:v>https://doi.org/10.1002/vms3.1146</x:v>
      </x:c>
    </x:row>
    <x:row r="19" ht="38" customHeight="1">
      <x:c r="A19" s="12" t="str">
        <x:v>Blattler2024</x:v>
      </x:c>
      <x:c r="B19" s="12" t="str">
        <x:v>article</x:v>
      </x:c>
      <x:c r="C19" s="12" t="str">
        <x:v>Serial kinematic analysis using inertial measurement units in growing dogs at risk of hip dysplasia</x:v>
      </x:c>
      <x:c r="D19" s="12" t="str">
        <x:v>https://doi.org/10.1016/j.vas.2024.100385</x:v>
      </x:c>
    </x:row>
    <x:row r="20" ht="38" customHeight="1">
      <x:c r="A20" s="12" t="str">
        <x:v>Wang2019</x:v>
      </x:c>
      <x:c r="B20" s="12" t="str">
        <x:v>article</x:v>
      </x:c>
      <x:c r="C20" s="12" t="str">
        <x:v>Human activity recognition using wearable sensors: A review</x:v>
      </x:c>
      <x:c r="D20" s="12" t="str">
        <x:v>https://doi.org/10.3390/s19092175</x:v>
      </x:c>
    </x:row>
    <x:row r="21" ht="38" customHeight="1">
      <x:c r="A21" s="12" t="str">
        <x:v>Bulling2014</x:v>
      </x:c>
      <x:c r="B21" s="12" t="str">
        <x:v>article</x:v>
      </x:c>
      <x:c r="C21" s="12" t="str">
        <x:v>A tutorial on human activity recognition using body-worn sensors</x:v>
      </x:c>
      <x:c r="D21" s="12" t="str">
        <x:v>https://doi.org/10.1145/2499621</x:v>
      </x:c>
    </x:row>
    <x:row r="22" ht="38" customHeight="1">
      <x:c r="A22" s="12" t="str">
        <x:v>Preece2009</x:v>
      </x:c>
      <x:c r="B22" s="12" t="str">
        <x:v>article</x:v>
      </x:c>
      <x:c r="C22" s="12" t="str">
        <x:v>A comparison of feature extraction methods for classification of dynamic activities</x:v>
      </x:c>
      <x:c r="D22" s="12" t="str">
        <x:v>https://doi.org/10.1016/j.medengphy.2009.02.002</x:v>
      </x:c>
    </x:row>
    <x:row r="23" ht="38" customHeight="1">
      <x:c r="A23" s="12" t="str">
        <x:v>Bosch2017</x:v>
      </x:c>
      <x:c r="B23" s="12" t="str">
        <x:v>article</x:v>
      </x:c>
      <x:c r="C23" s="12" t="str">
        <x:v>Automated detection of lameness in dogs using machine learning</x:v>
      </x:c>
      <x:c r="D23" s="12" t="str">
        <x:v>https://doi.org/10.1016/j.tvjl.2017.01.005</x:v>
      </x:c>
    </x:row>
    <x:row r="24" ht="38" customHeight="1">
      <x:c r="A24" s="12" t="str">
        <x:v>Trojaniello2014</x:v>
      </x:c>
      <x:c r="B24" s="12" t="str">
        <x:v>article</x:v>
      </x:c>
      <x:c r="C24" s="12" t="str">
        <x:v>Gait event detection using a single wearable inertial sensor</x:v>
      </x:c>
      <x:c r="D24" s="12" t="str">
        <x:v>https://doi.org/10.1109/TBME.2014.2307951</x:v>
      </x:c>
    </x:row>
  </x:sheetData>
  <x:pageMargins left="0.7" right="0.7" top="0.75" bottom="0.75" header="0.3" footer="0.3"/>
  <x:tableParts count="1">
    <x:tablePart xmlns:r="http://schemas.openxmlformats.org/officeDocument/2006/relationships" r:id="R5862b18468c242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26" t="str">
        <x:v>Notes / assumptions</x:v>
      </x:c>
    </x:row>
    <x:row r="3">
      <x:c r="A3" s="29" t="str">
        <x:v>Scope</x:v>
      </x:c>
      <x:c r="B3" s="12" t="str">
        <x:v>This workbook updates the previous paper matrix using the old table plus the additional BibTeX entries supplied in the prompt.</x:v>
      </x:c>
    </x:row>
    <x:row r="4">
      <x:c r="A4" s="29" t="str">
        <x:v>Rankings</x:v>
      </x:c>
      <x:c r="B4" s="12" t="str">
        <x:v>Ranking class and ranking source links follow the previous table/BibTeX context where available. Verify SJR/Scopus rankings before final submission if the committee requires current-year bibliometric evidence.</x:v>
      </x:c>
    </x:row>
    <x:row r="5">
      <x:c r="A5" s="29" t="str">
        <x:v>N/R</x:v>
      </x:c>
      <x:c r="B5" s="12" t="str">
        <x:v>Not reported or not immediately available in the supplied table/metadata.</x:v>
      </x:c>
    </x:row>
    <x:row r="6">
      <x:c r="A6" s="29" t="str">
        <x:v>N/A</x:v>
      </x:c>
      <x:c r="B6" s="12" t="str">
        <x:v>Not applicable to review papers or methods papers without an experimental canine cohort.</x:v>
      </x:c>
    </x:row>
    <x:row r="7">
      <x:c r="A7" s="29" t="str">
        <x:v>Thesis gap</x:v>
      </x:c>
      <x:c r="B7" s="12" t="str">
        <x:v>The dominant gap is the lack of prosthesis-integrated continuous sensing combining load and motion in real-world use.</x:v>
      </x:c>
    </x:row>
  </x:sheetData>
  <x:mergeCells>
    <x:mergeCell ref="A1:D1"/>
  </x:mergeCells>
  <x:pageMargins left="0.7" right="0.7" top="0.75" bottom="0.75" header="0.3" footer="0.3"/>
</x:worksheet>
</file>